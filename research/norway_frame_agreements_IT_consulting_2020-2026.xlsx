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me agreements" sheetId="1" state="visible" r:id="rId3"/>
    <sheet name="Renewal summary" sheetId="2" state="visible" r:id="rId4"/>
    <sheet name="Watchlist (no value)" sheetId="3" state="visible" r:id="rId5"/>
    <sheet name="Method &amp; cave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<sst xmlns="http://schemas.openxmlformats.org/spreadsheetml/2006/main" count="667" uniqueCount="406">
  <si>
    <t xml:space="preserve">#</t>
  </si>
  <si>
    <t xml:space="preserve">Buyer</t>
  </si>
  <si>
    <t xml:space="preserve">Buyer type</t>
  </si>
  <si>
    <t xml:space="preserve">Category</t>
  </si>
  <si>
    <t xml:space="preserve">What it covers</t>
  </si>
  <si>
    <t xml:space="preserve">Value (MNOK)</t>
  </si>
  <si>
    <t xml:space="preserve">Value basis</t>
  </si>
  <si>
    <t xml:space="preserve">Awarded / in force</t>
  </si>
  <si>
    <t xml:space="preserve">Term (base + options)</t>
  </si>
  <si>
    <t xml:space="preserve">Earliest end (no options)</t>
  </si>
  <si>
    <t xml:space="preserve">Latest end (all options)</t>
  </si>
  <si>
    <t xml:space="preserve">Expected re-tender window</t>
  </si>
  <si>
    <t xml:space="preserve">Renewal year (est.)</t>
  </si>
  <si>
    <t xml:space="preserve">Status (Oct 2026)</t>
  </si>
  <si>
    <t xml:space="preserve">Suppliers</t>
  </si>
  <si>
    <t xml:space="preserve">Confidence</t>
  </si>
  <si>
    <t xml:space="preserve">Sources</t>
  </si>
  <si>
    <t xml:space="preserve">Skatteetaten</t>
  </si>
  <si>
    <t xml:space="preserve">State agency</t>
  </si>
  <si>
    <t xml:space="preserve">IT consulting</t>
  </si>
  <si>
    <t xml:space="preserve">Predecessor IT consulting frame (20210021), 14 lots, Oslo/Grimstad/Mo i Rana</t>
  </si>
  <si>
    <t xml:space="preserve">Total awarded value per notice</t>
  </si>
  <si>
    <t xml:space="preserve">2021-06/09</t>
  </si>
  <si>
    <t xml:space="preserve">~2+1+1</t>
  </si>
  <si>
    <t xml:space="preserve">2023</t>
  </si>
  <si>
    <t xml:space="preserve">2025</t>
  </si>
  <si>
    <t xml:space="preserve">Done (replaced 2025)</t>
  </si>
  <si>
    <t xml:space="preserve">Replaced by 2025 frame</t>
  </si>
  <si>
    <t xml:space="preserve">Atea, Avo, Bouvet, Transcendent, Tietoevry, Capgemini and others</t>
  </si>
  <si>
    <t xml:space="preserve">Medium</t>
  </si>
  <si>
    <t xml:space="preserve">doffin.no/Notice/Details/2021-310096</t>
  </si>
  <si>
    <t xml:space="preserve">DSS (ministries)</t>
  </si>
  <si>
    <t xml:space="preserve">State agency (central gov.)</t>
  </si>
  <si>
    <t xml:space="preserve">IT consultant brokerage</t>
  </si>
  <si>
    <t xml:space="preserve">Predecessor brokerage frame; spending reached 787 MNOK vs 600 cap</t>
  </si>
  <si>
    <t xml:space="preserve">Max (exceeded by 187)</t>
  </si>
  <si>
    <t xml:space="preserve">2022-04-12</t>
  </si>
  <si>
    <t xml:space="preserve">n/a</t>
  </si>
  <si>
    <t xml:space="preserve">2025-01</t>
  </si>
  <si>
    <t xml:space="preserve">Done (replaced Jan 2025)</t>
  </si>
  <si>
    <t xml:space="preserve">Replaced</t>
  </si>
  <si>
    <t xml:space="preserve">ProData Consult</t>
  </si>
  <si>
    <t xml:space="preserve">High</t>
  </si>
  <si>
    <t xml:space="preserve">doffin.no/nn/Notice/Details/2022-397585 ; tu.no/nyhetsstudio/82046</t>
  </si>
  <si>
    <t xml:space="preserve">Utdanningsdirektoratet</t>
  </si>
  <si>
    <t xml:space="preserve">Predecessor IT consulting 2021-2025</t>
  </si>
  <si>
    <t xml:space="preserve">Max</t>
  </si>
  <si>
    <t xml:space="preserve">2021-04-16</t>
  </si>
  <si>
    <t xml:space="preserve">4 yrs</t>
  </si>
  <si>
    <t xml:space="preserve">Visma Consulting, Bouvet, Experis, Capgemini, EVRY, Bekk</t>
  </si>
  <si>
    <t xml:space="preserve">doffin.no/notices/2021-323091</t>
  </si>
  <si>
    <t xml:space="preserve">Norsk helsenett</t>
  </si>
  <si>
    <t xml:space="preserve">State enterprise (health)</t>
  </si>
  <si>
    <t xml:space="preserve">Cloud services</t>
  </si>
  <si>
    <t xml:space="preserve">Public cloud + related advisory</t>
  </si>
  <si>
    <t xml:space="preserve">2019</t>
  </si>
  <si>
    <t xml:space="preserve">Not stated</t>
  </si>
  <si>
    <t xml:space="preserve">Unknown</t>
  </si>
  <si>
    <t xml:space="preserve">c. 2023-25</t>
  </si>
  <si>
    <t xml:space="preserve">Likely re-tendered - verify</t>
  </si>
  <si>
    <t xml:space="preserve">Unknown - verify</t>
  </si>
  <si>
    <t xml:space="preserve">Not found</t>
  </si>
  <si>
    <t xml:space="preserve">Low</t>
  </si>
  <si>
    <t xml:space="preserve">doffin.no/notices/2019-372653</t>
  </si>
  <si>
    <t xml:space="preserve">FFI (for FD, Forsvaret, Forsvarsbygg, NSM)</t>
  </si>
  <si>
    <t xml:space="preserve">State agency (defence)</t>
  </si>
  <si>
    <t xml:space="preserve">IT products &amp; services</t>
  </si>
  <si>
    <t xml:space="preserve">IT equipment, software licences, networking and consulting services</t>
  </si>
  <si>
    <t xml:space="preserve">Estimate over 4 yrs (485/yr)</t>
  </si>
  <si>
    <t xml:space="preserve">2022</t>
  </si>
  <si>
    <t xml:space="preserve">2 yrs + 2</t>
  </si>
  <si>
    <t xml:space="preserve">2024</t>
  </si>
  <si>
    <t xml:space="preserve">2026</t>
  </si>
  <si>
    <t xml:space="preserve">Re-tender due 2026 (check Doffin)</t>
  </si>
  <si>
    <t xml:space="preserve">Near expiry</t>
  </si>
  <si>
    <t xml:space="preserve">Atea</t>
  </si>
  <si>
    <t xml:space="preserve">securityworldmarket.com (FFI og Atea inngår ny avtale) ; digi.no/artikler/atea-inngar-milliardavtale-med-ffi/520579</t>
  </si>
  <si>
    <t xml:space="preserve">Miljødirektoratet</t>
  </si>
  <si>
    <t xml:space="preserve">Digitalisation &amp; technology: development resources; specialists (mgmt &amp; advisory, design/UX, architecture/data)</t>
  </si>
  <si>
    <t xml:space="preserve">Estimate</t>
  </si>
  <si>
    <t xml:space="preserve">Tender: published 15 Jun 2026, bids due 31 Aug 2026; award expected Q4 2026-Q1 2027</t>
  </si>
  <si>
    <t xml:space="preserve">c. 2028-29</t>
  </si>
  <si>
    <t xml:space="preserve">c. 2030-31</t>
  </si>
  <si>
    <t xml:space="preserve">IN COMPETITION NOW</t>
  </si>
  <si>
    <t xml:space="preserve">Open / evaluation</t>
  </si>
  <si>
    <t xml:space="preserve">TBD</t>
  </si>
  <si>
    <t xml:space="preserve">doffin.no/notices/2026-110608</t>
  </si>
  <si>
    <t xml:space="preserve">Sykehuspartner (Helse Sør-Øst)</t>
  </si>
  <si>
    <t xml:space="preserve">Health trust</t>
  </si>
  <si>
    <t xml:space="preserve">Telecom equipment, project services and project assignments (regional frames)</t>
  </si>
  <si>
    <t xml:space="preserve">Max; est. 364-776</t>
  </si>
  <si>
    <t xml:space="preserve">2026 (tender)</t>
  </si>
  <si>
    <t xml:space="preserve">In competition 2026</t>
  </si>
  <si>
    <t xml:space="preserve">Open</t>
  </si>
  <si>
    <t xml:space="preserve">doffin.no (Sykehusinnkjøp/Sykehuspartner telecom notice, 2026)</t>
  </si>
  <si>
    <t xml:space="preserve">Sikt</t>
  </si>
  <si>
    <t xml:space="preserve">State agency (education)</t>
  </si>
  <si>
    <t xml:space="preserve">Software &amp; licences</t>
  </si>
  <si>
    <t xml:space="preserve">Software licence reseller (excl. Microsoft, Oracle, SAP) incl. advisory and support; single reseller</t>
  </si>
  <si>
    <t xml:space="preserve">Bids due 5 Jun 2026; award c. H2 2026</t>
  </si>
  <si>
    <t xml:space="preserve">Being awarded now</t>
  </si>
  <si>
    <t xml:space="preserve">TED 249446-2026</t>
  </si>
  <si>
    <t xml:space="preserve">Bane NOR</t>
  </si>
  <si>
    <t xml:space="preserve">State-owned company</t>
  </si>
  <si>
    <t xml:space="preserve">IT consultants: project mgmt, architecture, test, digital security etc.</t>
  </si>
  <si>
    <t xml:space="preserve">Tender Jun 2021; award c. late 2021</t>
  </si>
  <si>
    <t xml:space="preserve">Not stated (typ. 2+1+1)</t>
  </si>
  <si>
    <t xml:space="preserve">c. 2023</t>
  </si>
  <si>
    <t xml:space="preserve">c. 2025-26</t>
  </si>
  <si>
    <t xml:space="preserve">Due / likely in progress 2025-26 - verify</t>
  </si>
  <si>
    <t xml:space="preserve">Likely expiring</t>
  </si>
  <si>
    <t xml:space="preserve">doffin.no/notices/2021-319052</t>
  </si>
  <si>
    <t xml:space="preserve">Statens pensjonskasse (SPK)</t>
  </si>
  <si>
    <t xml:space="preserve">IT consultants for development of SPK IT products and services</t>
  </si>
  <si>
    <t xml:space="preserve">Re-estimated</t>
  </si>
  <si>
    <t xml:space="preserve">2021-11-08</t>
  </si>
  <si>
    <t xml:space="preserve">2023-11</t>
  </si>
  <si>
    <t xml:space="preserve">2025-11</t>
  </si>
  <si>
    <t xml:space="preserve">Likely re-tendered 2025-26 - verify</t>
  </si>
  <si>
    <t xml:space="preserve">Likely expired / re-tender</t>
  </si>
  <si>
    <t xml:space="preserve">Visma Consulting, Sopra Steria, Knowit, Kantega, Prodata, Bouvet</t>
  </si>
  <si>
    <t xml:space="preserve">doffin.no/Notice/Details/2021-393056</t>
  </si>
  <si>
    <t xml:space="preserve">Politiet (Politiets IT-enhet)</t>
  </si>
  <si>
    <t xml:space="preserve">IT development partner</t>
  </si>
  <si>
    <t xml:space="preserve">Development partner frame: development, design, data, product mgmt, agile coaching; 2nd lot architecture, test, security, privacy, technicians</t>
  </si>
  <si>
    <t xml:space="preserve">2023-10</t>
  </si>
  <si>
    <t xml:space="preserve">4 yrs + option</t>
  </si>
  <si>
    <t xml:space="preserve">2027-H2</t>
  </si>
  <si>
    <t xml:space="preserve">2028+ (option)</t>
  </si>
  <si>
    <t xml:space="preserve">2026-H2 to 2027-H2</t>
  </si>
  <si>
    <t xml:space="preserve">Active</t>
  </si>
  <si>
    <t xml:space="preserve">Knowit, Sopra Steria, Computas</t>
  </si>
  <si>
    <t xml:space="preserve">knowit.eu/news-press/knowit-has-signed-an-agreement-with-the-norwegian-police-services ; securityworldmarket.com (Sopra Steria signerer storkontrakt med politiet) ; digi.no/artikler/.../538968</t>
  </si>
  <si>
    <t xml:space="preserve">Statens vegvesen</t>
  </si>
  <si>
    <t xml:space="preserve">Development &amp; maintenance of IT systems for road construction, operations and maintenance (several hundred solutions)</t>
  </si>
  <si>
    <t xml:space="preserve">Total incl. options</t>
  </si>
  <si>
    <t xml:space="preserve">4 yrs + 4 yrs options</t>
  </si>
  <si>
    <t xml:space="preserve">2031-H2</t>
  </si>
  <si>
    <t xml:space="preserve">Option decision 2027; re-tender 2030-31 if options used</t>
  </si>
  <si>
    <t xml:space="preserve">Accenture</t>
  </si>
  <si>
    <t xml:space="preserve">tu.no/artikler/statens-vegvesen-har-signert-dataavtale-verdt-2-8-milliarder-kroner/540444</t>
  </si>
  <si>
    <t xml:space="preserve">Parallel frame for software purchases for all police districts</t>
  </si>
  <si>
    <t xml:space="preserve">2024-02</t>
  </si>
  <si>
    <t xml:space="preserve">2028-02</t>
  </si>
  <si>
    <t xml:space="preserve">2027-H1 to 2027-H2</t>
  </si>
  <si>
    <t xml:space="preserve">Crayon (ranked 1) + 1 other</t>
  </si>
  <si>
    <t xml:space="preserve">digi.no/artikler/politiet-kjoper-programvare-for-milliardbelop/543830 ; cw.no (Politiet velger Crayon som IT-partner) ; politiforum.no/kortnytt/.../256825</t>
  </si>
  <si>
    <t xml:space="preserve">Tet Digital AS (Ruter, Skyss, AKT)</t>
  </si>
  <si>
    <t xml:space="preserve">Public transport company (county-owned)</t>
  </si>
  <si>
    <t xml:space="preserve">Product development, technology, design and data capacity</t>
  </si>
  <si>
    <t xml:space="preserve">Total over up to 6 yrs</t>
  </si>
  <si>
    <t xml:space="preserve">2 yrs + 4 x 1-yr options</t>
  </si>
  <si>
    <t xml:space="preserve">2027-11</t>
  </si>
  <si>
    <t xml:space="preserve">2031-11</t>
  </si>
  <si>
    <t xml:space="preserve">Options yearly from 2027; re-tender 2030-31</t>
  </si>
  <si>
    <t xml:space="preserve">Knowit, Bekk</t>
  </si>
  <si>
    <t xml:space="preserve">Knowit press release 19 Nov 2025 (storage.mfn.se) ; doffin.no/notices/2025-108646</t>
  </si>
  <si>
    <t xml:space="preserve">Politiet</t>
  </si>
  <si>
    <t xml:space="preserve">Microsoft licence partner (LSP)</t>
  </si>
  <si>
    <t xml:space="preserve">Max over max 4 yrs</t>
  </si>
  <si>
    <t xml:space="preserve">c. 2022-23 (date unverified)</t>
  </si>
  <si>
    <t xml:space="preserve">Max 4 yrs</t>
  </si>
  <si>
    <t xml:space="preserve">c. 2026</t>
  </si>
  <si>
    <t xml:space="preserve">c. 2027</t>
  </si>
  <si>
    <t xml:space="preserve">Likely 2026-27</t>
  </si>
  <si>
    <t xml:space="preserve">Active? verify</t>
  </si>
  <si>
    <t xml:space="preserve">Atea (Crayon, SoftwareOne runners-up)</t>
  </si>
  <si>
    <t xml:space="preserve">digi.no/artikler/dyrtid-for-it-politiet-kjoper-programvare-for-et-milliardbelop/533048</t>
  </si>
  <si>
    <t xml:space="preserve">NAV (Arbeids- og velferdsdirektoratet)</t>
  </si>
  <si>
    <t xml:space="preserve">Management consulting</t>
  </si>
  <si>
    <t xml:space="preserve">Parallel consulting frames, 8 lots incl. strategy &amp; organisational development, recruitment, external QA</t>
  </si>
  <si>
    <t xml:space="preserve">Estimate (max +25% per lot)</t>
  </si>
  <si>
    <t xml:space="preserve">2023-11-01</t>
  </si>
  <si>
    <t xml:space="preserve">2 yrs + 1 + 1</t>
  </si>
  <si>
    <t xml:space="preserve">2025-10</t>
  </si>
  <si>
    <t xml:space="preserve">2027-10</t>
  </si>
  <si>
    <t xml:space="preserve">2026-H2 to 2027-H1</t>
  </si>
  <si>
    <t xml:space="preserve">Active (in option period)</t>
  </si>
  <si>
    <t xml:space="preserve">doffin.no/Notice/Details/2023-668270</t>
  </si>
  <si>
    <t xml:space="preserve">Bergen kommune</t>
  </si>
  <si>
    <t xml:space="preserve">Municipality</t>
  </si>
  <si>
    <t xml:space="preserve">Digitalisation, business development &amp; change: project/test mgmt, enterprise architecture, business development</t>
  </si>
  <si>
    <t xml:space="preserve">2023-09-26</t>
  </si>
  <si>
    <t xml:space="preserve">2025-09</t>
  </si>
  <si>
    <t xml:space="preserve">2027-09</t>
  </si>
  <si>
    <t xml:space="preserve">2027</t>
  </si>
  <si>
    <t xml:space="preserve">KPMG, Capgemini, Avo Consulting (Sopra Steria also listed)</t>
  </si>
  <si>
    <t xml:space="preserve">doffin.no/notices/2023-338924</t>
  </si>
  <si>
    <t xml:space="preserve">Licences, software maintenance &amp; related services</t>
  </si>
  <si>
    <t xml:space="preserve">2023-08 (concluded 18 Aug 2023)</t>
  </si>
  <si>
    <t xml:space="preserve">2025-08</t>
  </si>
  <si>
    <t xml:space="preserve">2027-08</t>
  </si>
  <si>
    <t xml:space="preserve">Advania, Atea, Crayon</t>
  </si>
  <si>
    <t xml:space="preserve">doffin.no/notices/2023-389188</t>
  </si>
  <si>
    <t xml:space="preserve">Domstoladministrasjonen</t>
  </si>
  <si>
    <t xml:space="preserve">IT / management advisory</t>
  </si>
  <si>
    <t xml:space="preserve">General IT &amp; digitalisation advisory</t>
  </si>
  <si>
    <t xml:space="preserve">Max; re-est. 80</t>
  </si>
  <si>
    <t xml:space="preserve">2023-05-12</t>
  </si>
  <si>
    <t xml:space="preserve">Base + 1 + 1</t>
  </si>
  <si>
    <t xml:space="preserve">2025-05</t>
  </si>
  <si>
    <t xml:space="preserve">2027-05</t>
  </si>
  <si>
    <t xml:space="preserve">Bouvet</t>
  </si>
  <si>
    <t xml:space="preserve">doffin.no/notices/2023-639099</t>
  </si>
  <si>
    <t xml:space="preserve">DFØ (cloud marketplace)</t>
  </si>
  <si>
    <t xml:space="preserve">State agency (on behalf of 318 public bodies)</t>
  </si>
  <si>
    <t xml:space="preserve">Public cloud platform &amp; infrastructure (IaaS/PaaS) for state, counties and municipalities</t>
  </si>
  <si>
    <t xml:space="preserve">Ceiling over 3 yrs</t>
  </si>
  <si>
    <t xml:space="preserve">2025-09-12</t>
  </si>
  <si>
    <t xml:space="preserve">3 yrs</t>
  </si>
  <si>
    <t xml:space="preserve">2028-09</t>
  </si>
  <si>
    <t xml:space="preserve">2028-09 (options not reported)</t>
  </si>
  <si>
    <t xml:space="preserve">2027-H2 to 2028-H1</t>
  </si>
  <si>
    <t xml:space="preserve">AWS, Google Cloud, IBM, Oracle</t>
  </si>
  <si>
    <t xml:space="preserve">altinget.no/digital/artikkel/inngaar-rammeavtale-med-tek-giganter-for-10-milliarder-kroner</t>
  </si>
  <si>
    <t xml:space="preserve">IT consulting, 8 parallel lots (design, agile coaching, cloud development, data communication etc.), 2-6 suppliers per lot</t>
  </si>
  <si>
    <t xml:space="preserve">Ceiling; est. 3,500</t>
  </si>
  <si>
    <t xml:space="preserve">2024-Q3</t>
  </si>
  <si>
    <t xml:space="preserve">2028-H2</t>
  </si>
  <si>
    <t xml:space="preserve">Knowit (most lots), Sopra Steria, Bekk, Computas + others</t>
  </si>
  <si>
    <t xml:space="preserve">digi.no/artikler/nav-kjoper-it-konsulenter-for-opptil-4-6-milliarder-haper-det-blir-mindre/551227 ; knowit.eu (renewed confidence to digitalize NAV)</t>
  </si>
  <si>
    <t xml:space="preserve">Forsvaret (FLO) - defence sector</t>
  </si>
  <si>
    <t xml:space="preserve">Parallel consulting frames in 6 fields: project mgmt, systems engineering, procurement/logistics, finance &amp; governance, strategic advisory, ICT management</t>
  </si>
  <si>
    <t xml:space="preserve">Prequal. Sep 2024; award c. 2025 (not confirmed)</t>
  </si>
  <si>
    <t xml:space="preserve">48 months</t>
  </si>
  <si>
    <t xml:space="preserve">c. 2029</t>
  </si>
  <si>
    <t xml:space="preserve">c. 2028</t>
  </si>
  <si>
    <t xml:space="preserve">Award not confirmed</t>
  </si>
  <si>
    <t xml:space="preserve">TBD (prev. strategic advisory: Sopra Steria)</t>
  </si>
  <si>
    <t xml:space="preserve">doffin.no/notices/2024-113421</t>
  </si>
  <si>
    <t xml:space="preserve">DSS / DIO (ministries)</t>
  </si>
  <si>
    <t xml:space="preserve">Brokerage of IT consultants for the ministries</t>
  </si>
  <si>
    <t xml:space="preserve">2025-01-25 (in force)</t>
  </si>
  <si>
    <t xml:space="preserve">2027-01</t>
  </si>
  <si>
    <t xml:space="preserve">2029-01</t>
  </si>
  <si>
    <t xml:space="preserve">2027-H2 to 2028 (earlier if ceiling is used up, as happened in 2022 frame)</t>
  </si>
  <si>
    <t xml:space="preserve">emagine A/S</t>
  </si>
  <si>
    <t xml:space="preserve">stortinget.no Innst. 82 S (2025-2026) ; Riksrevisjonen Dok 3:16 (2024-2025)</t>
  </si>
  <si>
    <t xml:space="preserve">General IT assistance (generell IT-bistand), parallel frames</t>
  </si>
  <si>
    <t xml:space="preserve">Max; re-est. 500</t>
  </si>
  <si>
    <t xml:space="preserve">2025-03 (concluded 6 Mar 2025)</t>
  </si>
  <si>
    <t xml:space="preserve">2 yrs + 1 + 1 (assumed from 2023 tender terms)</t>
  </si>
  <si>
    <t xml:space="preserve">2027-03</t>
  </si>
  <si>
    <t xml:space="preserve">2029-03</t>
  </si>
  <si>
    <t xml:space="preserve">2028</t>
  </si>
  <si>
    <t xml:space="preserve">Netcompany, Knowit, Bekk, Sopra Steria, Bouvet + 3 others (8 of 20 bidders)</t>
  </si>
  <si>
    <t xml:space="preserve">doffin.no/notices/2025-107476 ; TED 310973-2025</t>
  </si>
  <si>
    <t xml:space="preserve">IT advisory, strategy, governance and management; parallel frames (5-8 suppliers)</t>
  </si>
  <si>
    <t xml:space="preserve">2024-H1 (bid deadline 4 Dec 2023)</t>
  </si>
  <si>
    <t xml:space="preserve">2026-H1</t>
  </si>
  <si>
    <t xml:space="preserve">2028-H1</t>
  </si>
  <si>
    <t xml:space="preserve">8 consultancies (bidders incl. Accenture, Capgemini, Deloitte, EY, KPMG, Sopra Steria)</t>
  </si>
  <si>
    <t xml:space="preserve">tu.no/artikler/vegvesenet-skal-kjope-inn-it-tjenester-for-500-mill/539120 ; digi.no/artikler/statens-vegvesen-kjoper-it-konsulenter-for-en-halv-milliard/544262</t>
  </si>
  <si>
    <t xml:space="preserve">IT operations consulting</t>
  </si>
  <si>
    <t xml:space="preserve">IT infrastructure &amp; operations consulting</t>
  </si>
  <si>
    <t xml:space="preserve">Max; re-est. 150</t>
  </si>
  <si>
    <t xml:space="preserve">2025-03</t>
  </si>
  <si>
    <t xml:space="preserve">Assumed 2+1+1</t>
  </si>
  <si>
    <t xml:space="preserve">Crayon, IT Consult + others</t>
  </si>
  <si>
    <t xml:space="preserve">TED 313841-2025</t>
  </si>
  <si>
    <t xml:space="preserve">Forsvarsmateriell</t>
  </si>
  <si>
    <t xml:space="preserve">Strategic ICT advisory for the defence sector (strategy, follow-up, roadmap); single supplier</t>
  </si>
  <si>
    <t xml:space="preserve">Notice 15 Oct 2024; award c. 2025</t>
  </si>
  <si>
    <t xml:space="preserve">TBD (2021 predecessor: Sopra Steria)</t>
  </si>
  <si>
    <t xml:space="preserve">doffin.no/notices/2024-114633</t>
  </si>
  <si>
    <t xml:space="preserve">NVE</t>
  </si>
  <si>
    <t xml:space="preserve">IT consulting for development and maintenance (up to 3 suppliers)</t>
  </si>
  <si>
    <t xml:space="preserve">Estimate (~60/yr x 4)</t>
  </si>
  <si>
    <t xml:space="preserve">doffin.no/notices/2024-115058</t>
  </si>
  <si>
    <t xml:space="preserve">IT &amp; development consulting, 11 lots (advisory, design, test, development, architecture, RPA etc.)</t>
  </si>
  <si>
    <t xml:space="preserve">Max; est. 4,200-5,300</t>
  </si>
  <si>
    <t xml:space="preserve">2025-06 (contracts 23 Jun 2025; in force autumn 2025)</t>
  </si>
  <si>
    <t xml:space="preserve">2029-H2</t>
  </si>
  <si>
    <t xml:space="preserve">2028-H2 to 2029-H1</t>
  </si>
  <si>
    <t xml:space="preserve">Bekk, UniConsult, Aboveit (test lead) + consortia; 11 lots</t>
  </si>
  <si>
    <t xml:space="preserve">digi.no/artikler/kjoper-it-konsulenter-for-over-fem-milliarder/559076 ; aboveit.no/paafyll/aboveit-vinner-rammeavtale-med-skatteetaten ; TED 528228-2025</t>
  </si>
  <si>
    <t xml:space="preserve">IT consulting 2025-2029: system development, maintenance, studies, strategic advice</t>
  </si>
  <si>
    <t xml:space="preserve">2025-H1/H2</t>
  </si>
  <si>
    <t xml:space="preserve">Through 2029</t>
  </si>
  <si>
    <t xml:space="preserve">2029</t>
  </si>
  <si>
    <t xml:space="preserve">Bekk, Capgemini, Computas, Experis, Netcompany, Netlight</t>
  </si>
  <si>
    <t xml:space="preserve">anbud.cobrief.no (Rammeavtale IT-konsulenttjenester 2025-2029)</t>
  </si>
  <si>
    <t xml:space="preserve">Vy (Vygruppen AS)</t>
  </si>
  <si>
    <t xml:space="preserve">Licences &amp; cloud (SaaS/PaaS/IaaS), licence management and advisory</t>
  </si>
  <si>
    <t xml:space="preserve">2025-H1 (bid deadline 31 Jan 2025)</t>
  </si>
  <si>
    <t xml:space="preserve">doffin.no/notices/2024-118739</t>
  </si>
  <si>
    <t xml:space="preserve">Bufdir</t>
  </si>
  <si>
    <t xml:space="preserve">IT consultants (60%) + consultant brokerage (40%), 2 frames</t>
  </si>
  <si>
    <t xml:space="preserve">Estimate over 4 yrs</t>
  </si>
  <si>
    <t xml:space="preserve">Tender Feb 2025; award c. mid-2025</t>
  </si>
  <si>
    <t xml:space="preserve">oljelandet.no/anbud/2025-102487</t>
  </si>
  <si>
    <t xml:space="preserve">Purchase/rental of software licences + licence consulting, 5 lots</t>
  </si>
  <si>
    <t xml:space="preserve">Tender Dec 2024; award c. 2025</t>
  </si>
  <si>
    <t xml:space="preserve">op.europa.eu (NHN ref 24/01368)</t>
  </si>
  <si>
    <t xml:space="preserve">UDI (ModUlf programme)</t>
  </si>
  <si>
    <t xml:space="preserve">Strategic &amp; tactical IT advisory for Modernised Immigration Administration (2025-2031)</t>
  </si>
  <si>
    <t xml:space="preserve">Estimate (notice also shows 4 as max - inconsistent)</t>
  </si>
  <si>
    <t xml:space="preserve">Tender Dec 2024 (bids 30 Jan 2025); award c. Q1-Q2 2025</t>
  </si>
  <si>
    <t xml:space="preserve">Not found (Twoday/Bouvet hold other UDI work)</t>
  </si>
  <si>
    <t xml:space="preserve">doffin.no/notices/2024-118713</t>
  </si>
  <si>
    <t xml:space="preserve">IT consulting frame, 3 areas: product development, AI &amp; data, +1</t>
  </si>
  <si>
    <t xml:space="preserve">Max over 4 yrs</t>
  </si>
  <si>
    <t xml:space="preserve">2026-Q3</t>
  </si>
  <si>
    <t xml:space="preserve">2030-H2</t>
  </si>
  <si>
    <t xml:space="preserve">2029-H2 to 2030-H1</t>
  </si>
  <si>
    <t xml:space="preserve">Active (new)</t>
  </si>
  <si>
    <t xml:space="preserve">Twoday (product dev; AI &amp; data), Netcompany (product dev) + others</t>
  </si>
  <si>
    <t xml:space="preserve">via.ritzau.dk (Netcompany/Vy) ; digi.no/artikler/.../575161</t>
  </si>
  <si>
    <t xml:space="preserve">Statnett</t>
  </si>
  <si>
    <t xml:space="preserve">IT/digital frame incl. Fifty (Nordic balancing) programme</t>
  </si>
  <si>
    <t xml:space="preserve">Est. 1,200-1,500 (2019 frame)</t>
  </si>
  <si>
    <t xml:space="preserve">2019-07 (renewed 2025)</t>
  </si>
  <si>
    <t xml:space="preserve">Up to 6 yrs</t>
  </si>
  <si>
    <t xml:space="preserve">Renewed 2025; next c. 2030-31</t>
  </si>
  <si>
    <t xml:space="preserve">Renewed 2025 - new value not disclosed</t>
  </si>
  <si>
    <t xml:space="preserve">Bouvet (main, with subcontractors incl. Rejlers Embriq)</t>
  </si>
  <si>
    <t xml:space="preserve">rejlers.com (Statnett alliance, Jul 2019) ; Bouvet Q2 2025 report</t>
  </si>
  <si>
    <t xml:space="preserve">Azure cloud services (opted out of DFØ joint agreement)</t>
  </si>
  <si>
    <t xml:space="preserve">Unknown - check notice</t>
  </si>
  <si>
    <t xml:space="preserve">Crayon</t>
  </si>
  <si>
    <t xml:space="preserve">TED 241775-2026 ; digi.no/artikler/kjoper-sky-for-1-2-milliarder-dropper-fellesavtale/563685</t>
  </si>
  <si>
    <t xml:space="preserve">Helsedirektoratet</t>
  </si>
  <si>
    <t xml:space="preserve">State agency (health)</t>
  </si>
  <si>
    <t xml:space="preserve">IT operations</t>
  </si>
  <si>
    <t xml:space="preserve">Operation of specialist applications and platform</t>
  </si>
  <si>
    <t xml:space="preserve">2026 (award notice)</t>
  </si>
  <si>
    <t xml:space="preserve">See notice</t>
  </si>
  <si>
    <t xml:space="preserve">doffin.no/notices/2026-102620</t>
  </si>
  <si>
    <t xml:space="preserve">IT operations services (outsourcing contract)</t>
  </si>
  <si>
    <t xml:space="preserve">Total awarded value</t>
  </si>
  <si>
    <t xml:space="preserve">2020</t>
  </si>
  <si>
    <t xml:space="preserve">Sopra Steria</t>
  </si>
  <si>
    <t xml:space="preserve">doffin.no/notices/2020-361827</t>
  </si>
  <si>
    <t xml:space="preserve">Administrative consulting, parallel frames</t>
  </si>
  <si>
    <t xml:space="preserve">Max (combined)</t>
  </si>
  <si>
    <t xml:space="preserve">Date not verified</t>
  </si>
  <si>
    <t xml:space="preserve">BDO, EY, Deloitte, KPMG, PwC</t>
  </si>
  <si>
    <t xml:space="preserve">advokatwatch.no/nyheter/revisorer/article19021243.ece</t>
  </si>
  <si>
    <t xml:space="preserve">Renewal pipeline by estimated re-tender year (active + upcoming frames)</t>
  </si>
  <si>
    <t xml:space="preserve">Formulas read the 'Frame agreements' sheet. Rows with status 'Replaced' are excluded. Value = headline max/estimate, not expected spend.</t>
  </si>
  <si>
    <t xml:space="preserve">Renewal year</t>
  </si>
  <si>
    <t xml:space="preserve"># frames</t>
  </si>
  <si>
    <t xml:space="preserve">Sum of headline value (MNOK)</t>
  </si>
  <si>
    <t xml:space="preserve">2030</t>
  </si>
  <si>
    <t xml:space="preserve">2031</t>
  </si>
  <si>
    <t xml:space="preserve">Total</t>
  </si>
  <si>
    <t xml:space="preserve">Renewal year unknown</t>
  </si>
  <si>
    <t xml:space="preserve">By category</t>
  </si>
  <si>
    <t xml:space="preserve">What</t>
  </si>
  <si>
    <t xml:space="preserve">Date</t>
  </si>
  <si>
    <t xml:space="preserve">Why it matters</t>
  </si>
  <si>
    <t xml:space="preserve">Source</t>
  </si>
  <si>
    <t xml:space="preserve">Equinor</t>
  </si>
  <si>
    <t xml:space="preserve">Bouvet IT frame renewed: 5 yrs + 5 yrs options</t>
  </si>
  <si>
    <t xml:space="preserve">c. 2021-22 (verify)</t>
  </si>
  <si>
    <t xml:space="preserve">Long-standing, almost certainly &gt;100 MNOK; value not published (utilities-sector buyer)</t>
  </si>
  <si>
    <t xml:space="preserve">petro.no/nyheter/equinor-forlenger-it-kontrakt-med-bouvet</t>
  </si>
  <si>
    <t xml:space="preserve">Capgemini application management multi-year extension</t>
  </si>
  <si>
    <t xml:space="preserve">2021-06</t>
  </si>
  <si>
    <t xml:space="preserve">Large AM contract; value not disclosed</t>
  </si>
  <si>
    <t xml:space="preserve">capgemini.com press release 16 Jun 2021</t>
  </si>
  <si>
    <t xml:space="preserve">Webstep digitalisation frame, 3 yrs + 1</t>
  </si>
  <si>
    <t xml:space="preserve">~80 consultants; expires 2027-28</t>
  </si>
  <si>
    <t xml:space="preserve">inderes.dk (Webstep awarded 3+1 years contract with Equinor)</t>
  </si>
  <si>
    <t xml:space="preserve">New 2025 frame (successor to Bouvet 1.2-1.5 bn frame)</t>
  </si>
  <si>
    <t xml:space="preserve">2025-Q2</t>
  </si>
  <si>
    <t xml:space="preserve">Value not disclosed</t>
  </si>
  <si>
    <t xml:space="preserve">Bouvet Q2 2025 report</t>
  </si>
  <si>
    <t xml:space="preserve">Ruter AS</t>
  </si>
  <si>
    <t xml:space="preserve">IT consultants &amp; advisers (customer service, AI/chatbot), 2026</t>
  </si>
  <si>
    <t xml:space="preserve">Start 1 May 2026; end 2028 (2030 with options)</t>
  </si>
  <si>
    <t xml:space="preserve">Value not found; Tet Digital may also use it</t>
  </si>
  <si>
    <t xml:space="preserve">ruter.no/anskaffelser/kunngjorte-konkurranser/2026-rammeavtale-it-konsulenter-og-radgivere</t>
  </si>
  <si>
    <t xml:space="preserve">Sykehusinnkjøp (Helse Sør-Øst)</t>
  </si>
  <si>
    <t xml:space="preserve">ICT strategy/analysis consulting for health trusts</t>
  </si>
  <si>
    <t xml:space="preserve">Notice Jul 2026</t>
  </si>
  <si>
    <t xml:space="preserve">Open opportunity; value not found</t>
  </si>
  <si>
    <t xml:space="preserve">ted.europa.eu notice 564241-2026</t>
  </si>
  <si>
    <t xml:space="preserve">Sykehusinnkjøp</t>
  </si>
  <si>
    <t xml:space="preserve">Consulting: procurement, logistics &amp; finance for health trusts</t>
  </si>
  <si>
    <t xml:space="preserve">Start c. Nov 2025; bids Mar 2026</t>
  </si>
  <si>
    <t xml:space="preserve">Management consulting frame; value not found</t>
  </si>
  <si>
    <t xml:space="preserve">auftrag.ai (Consultancy services, procurements, logistics and finance)</t>
  </si>
  <si>
    <t xml:space="preserve">Forsvaret / Forsvarsmateriell</t>
  </si>
  <si>
    <t xml:space="preserve">Application &amp; integration services frame</t>
  </si>
  <si>
    <t xml:space="preserve">Prequal Oct 2022</t>
  </si>
  <si>
    <t xml:space="preserve">Value not stated; likely large; check award and expiry</t>
  </si>
  <si>
    <t xml:space="preserve">doffin.no/notices/2022-975346</t>
  </si>
  <si>
    <t xml:space="preserve">Oslo kommune (UKE)</t>
  </si>
  <si>
    <t xml:space="preserve">Joint IT consultant frame (project/process, line support, UX)</t>
  </si>
  <si>
    <t xml:space="preserve">2018 (successor not found)</t>
  </si>
  <si>
    <t xml:space="preserve">Oslo's citywide frame; successor likely exists, not indexed</t>
  </si>
  <si>
    <t xml:space="preserve">doffin.no/Notice/Details/2018-553203</t>
  </si>
  <si>
    <t xml:space="preserve">Brønnøysundregistrene</t>
  </si>
  <si>
    <t xml:space="preserve">Notice listed with 1,200 MNOK (IT competence/training?)</t>
  </si>
  <si>
    <t xml:space="preserve">2026-04</t>
  </si>
  <si>
    <t xml:space="preserve">Search snippet ambiguous; verify on Doffin</t>
  </si>
  <si>
    <t xml:space="preserve">doffin.no (Brønnøysundregistrene, Apr 2026)</t>
  </si>
  <si>
    <t xml:space="preserve">Method &amp; caveats</t>
  </si>
  <si>
    <t xml:space="preserve">Scope: IT &amp; digital services and management consulting frame agreements (rammeavtaler) in Norway, headline value &gt; 100 MNOK, awarded or tendered 2020-2026, public buyers and state-owned companies. Compiled 20 Oct 2026.</t>
  </si>
  <si>
    <t xml:space="preserve">Sources: Doffin and TED notices (via search index), digi.no, tu.no, altinget.no, Stortinget/Riksrevisjonen documents and supplier stock-exchange releases. Doffin and TED could not be opened directly from the research environment, so details come from indexed notice text and press coverage. Every row lists its sources - verify on doffin.no before acting.</t>
  </si>
  <si>
    <t xml:space="preserve">Value: the headline number in the notice or press (maximum/ceiling where given, otherwise estimate). This is an upper bound, not expected spend. Column G says which basis applies.</t>
  </si>
  <si>
    <t xml:space="preserve">Renewal estimate: latest end = award date + base term + all options. Norwegian buyers usually start the re-tender (market dialogue, then notice) 9-15 months before the final end date, so the re-tender window is set roughly one year earlier. Where the term was not published, a typical 2+1+1 years (4 yrs total) is assumed and noted in column I.</t>
  </si>
  <si>
    <t xml:space="preserve">Early renewal risk: a frame can be re-tendered early if its ceiling is used up (e.g. the DSS 2022 brokerage frame was overspent by 187 MNOK / 31%) or if the buyer drops its options.</t>
  </si>
  <si>
    <t xml:space="preserve">Confidence: High = value, date and suppliers confirmed by a notice or several sources; Medium = one source or terms assumed; Low = date or value unverified.</t>
  </si>
  <si>
    <t xml:space="preserve">Not covered: private companies (rarely published), engineering/construction frames, IT hardware-only frames, frames under 100 MNOK (e.g. Nye Veier strategic advisory 90 MNOK). Equinor and other utilities-sector buyers seldom publish values; see the Watchlist sheet.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</si>
</sst>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s" displayName="Frames" ref="A1:Q41" headerRowCount="1" totalsRowCount="0" totalsRowShown="0">
  <autoFilter ref="A1:Q41"/>
  <tableColumns count="17">
    <tableColumn id="1" name="#"/>
    <tableColumn id="2" name="Buyer"/>
    <tableColumn id="3" name="Buyer type"/>
    <tableColumn id="4" name="Category"/>
    <tableColumn id="5" name="What it covers"/>
    <tableColumn id="6" name="Value (MNOK)"/>
    <tableColumn id="7" name="Value basis"/>
    <tableColumn id="8" name="Awarded / in force"/>
    <tableColumn id="9" name="Term (base + options)"/>
    <tableColumn id="10" name="Earliest end (no options)"/>
    <tableColumn id="11" name="Latest end (all options)"/>
    <tableColumn id="12" name="Expected re-tender window"/>
    <tableColumn id="13" name="Renewal year (est.)"/>
    <tableColumn id="14" name="Status (Oct 2026)"/>
    <tableColumn id="15" name="Suppliers"/>
    <tableColumn id="16" name="Confidence"/>
    <tableColumn id="17" name="Sourc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22"/>
    <col collapsed="false" customWidth="true" hidden="false" outlineLevel="0" max="5" min="5" style="0" width="48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24"/>
    <col collapsed="false" customWidth="true" hidden="false" outlineLevel="0" max="9" min="9" style="0" width="20"/>
    <col collapsed="false" customWidth="true" hidden="false" outlineLevel="0" max="11" min="10" style="0" width="14"/>
    <col collapsed="false" customWidth="true" hidden="false" outlineLevel="0" max="12" min="12" style="0" width="24"/>
    <col collapsed="false" customWidth="true" hidden="false" outlineLevel="0" max="13" min="13" style="0" width="10"/>
    <col collapsed="false" customWidth="true" hidden="false" outlineLevel="0" max="14" min="14" style="0" width="22"/>
    <col collapsed="false" customWidth="true" hidden="false" outlineLevel="0" max="15" min="15" style="0" width="38"/>
    <col collapsed="false" customWidth="true" hidden="false" outlineLevel="0" max="16" min="16" style="0" width="10"/>
    <col collapsed="false" customWidth="true" hidden="false" outlineLevel="0" max="17" min="17" style="0" width="6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3.85" hidden="false" customHeight="false" outlineLevel="0" collapsed="false">
      <c r="A2" s="2" t="n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3" t="n">
        <v>3500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n">
        <v>2025</v>
      </c>
      <c r="N2" s="2" t="s">
        <v>27</v>
      </c>
      <c r="O2" s="2" t="s">
        <v>28</v>
      </c>
      <c r="P2" s="4" t="s">
        <v>29</v>
      </c>
      <c r="Q2" s="2" t="s">
        <v>30</v>
      </c>
    </row>
    <row r="3" customFormat="false" ht="23.85" hidden="false" customHeight="false" outlineLevel="0" collapsed="false">
      <c r="A3" s="2" t="n">
        <v>2</v>
      </c>
      <c r="B3" s="2" t="s">
        <v>31</v>
      </c>
      <c r="C3" s="2" t="s">
        <v>32</v>
      </c>
      <c r="D3" s="2" t="s">
        <v>33</v>
      </c>
      <c r="E3" s="2" t="s">
        <v>34</v>
      </c>
      <c r="F3" s="3" t="n">
        <v>600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38</v>
      </c>
      <c r="L3" s="2" t="s">
        <v>39</v>
      </c>
      <c r="M3" s="2" t="n">
        <v>2025</v>
      </c>
      <c r="N3" s="2" t="s">
        <v>40</v>
      </c>
      <c r="O3" s="2" t="s">
        <v>41</v>
      </c>
      <c r="P3" s="5" t="s">
        <v>42</v>
      </c>
      <c r="Q3" s="2" t="s">
        <v>43</v>
      </c>
    </row>
    <row r="4" customFormat="false" ht="23.85" hidden="false" customHeight="false" outlineLevel="0" collapsed="false">
      <c r="A4" s="2" t="n">
        <v>3</v>
      </c>
      <c r="B4" s="2" t="s">
        <v>44</v>
      </c>
      <c r="C4" s="2" t="s">
        <v>18</v>
      </c>
      <c r="D4" s="2" t="s">
        <v>19</v>
      </c>
      <c r="E4" s="2" t="s">
        <v>45</v>
      </c>
      <c r="F4" s="3" t="n">
        <v>600</v>
      </c>
      <c r="G4" s="2" t="s">
        <v>46</v>
      </c>
      <c r="H4" s="2" t="s">
        <v>47</v>
      </c>
      <c r="I4" s="2" t="s">
        <v>48</v>
      </c>
      <c r="J4" s="2" t="s">
        <v>25</v>
      </c>
      <c r="K4" s="2" t="s">
        <v>25</v>
      </c>
      <c r="L4" s="2" t="s">
        <v>26</v>
      </c>
      <c r="M4" s="2" t="n">
        <v>2025</v>
      </c>
      <c r="N4" s="2" t="s">
        <v>40</v>
      </c>
      <c r="O4" s="2" t="s">
        <v>49</v>
      </c>
      <c r="P4" s="5" t="s">
        <v>42</v>
      </c>
      <c r="Q4" s="2" t="s">
        <v>50</v>
      </c>
    </row>
    <row r="5" customFormat="false" ht="15" hidden="false" customHeight="false" outlineLevel="0" collapsed="false">
      <c r="A5" s="2" t="n">
        <v>4</v>
      </c>
      <c r="B5" s="2" t="s">
        <v>51</v>
      </c>
      <c r="C5" s="2" t="s">
        <v>52</v>
      </c>
      <c r="D5" s="2" t="s">
        <v>53</v>
      </c>
      <c r="E5" s="2" t="s">
        <v>54</v>
      </c>
      <c r="F5" s="3" t="n">
        <v>2400</v>
      </c>
      <c r="G5" s="2" t="s">
        <v>46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59</v>
      </c>
      <c r="M5" s="2" t="n">
        <v>2026</v>
      </c>
      <c r="N5" s="2" t="s">
        <v>60</v>
      </c>
      <c r="O5" s="2" t="s">
        <v>61</v>
      </c>
      <c r="P5" s="6" t="s">
        <v>62</v>
      </c>
      <c r="Q5" s="2" t="s">
        <v>63</v>
      </c>
    </row>
    <row r="6" customFormat="false" ht="23.85" hidden="false" customHeight="false" outlineLevel="0" collapsed="false">
      <c r="A6" s="2" t="n">
        <v>5</v>
      </c>
      <c r="B6" s="2" t="s">
        <v>64</v>
      </c>
      <c r="C6" s="2" t="s">
        <v>65</v>
      </c>
      <c r="D6" s="2" t="s">
        <v>66</v>
      </c>
      <c r="E6" s="2" t="s">
        <v>67</v>
      </c>
      <c r="F6" s="3" t="n">
        <v>1940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n">
        <v>2026</v>
      </c>
      <c r="N6" s="4" t="s">
        <v>74</v>
      </c>
      <c r="O6" s="2" t="s">
        <v>75</v>
      </c>
      <c r="P6" s="4" t="s">
        <v>29</v>
      </c>
      <c r="Q6" s="2" t="s">
        <v>76</v>
      </c>
    </row>
    <row r="7" customFormat="false" ht="46.25" hidden="false" customHeight="false" outlineLevel="0" collapsed="false">
      <c r="A7" s="2" t="n">
        <v>6</v>
      </c>
      <c r="B7" s="2" t="s">
        <v>77</v>
      </c>
      <c r="C7" s="2" t="s">
        <v>18</v>
      </c>
      <c r="D7" s="2" t="s">
        <v>19</v>
      </c>
      <c r="E7" s="2" t="s">
        <v>78</v>
      </c>
      <c r="F7" s="3" t="n">
        <v>1323</v>
      </c>
      <c r="G7" s="2" t="s">
        <v>79</v>
      </c>
      <c r="H7" s="2" t="s">
        <v>80</v>
      </c>
      <c r="I7" s="2" t="s">
        <v>56</v>
      </c>
      <c r="J7" s="2" t="s">
        <v>81</v>
      </c>
      <c r="K7" s="2" t="s">
        <v>82</v>
      </c>
      <c r="L7" s="2" t="s">
        <v>83</v>
      </c>
      <c r="M7" s="2" t="n">
        <v>2026</v>
      </c>
      <c r="N7" s="4" t="s">
        <v>84</v>
      </c>
      <c r="O7" s="2" t="s">
        <v>85</v>
      </c>
      <c r="P7" s="5" t="s">
        <v>42</v>
      </c>
      <c r="Q7" s="2" t="s">
        <v>86</v>
      </c>
    </row>
    <row r="8" customFormat="false" ht="23.85" hidden="false" customHeight="false" outlineLevel="0" collapsed="false">
      <c r="A8" s="2" t="n">
        <v>7</v>
      </c>
      <c r="B8" s="2" t="s">
        <v>87</v>
      </c>
      <c r="C8" s="2" t="s">
        <v>88</v>
      </c>
      <c r="D8" s="2" t="s">
        <v>66</v>
      </c>
      <c r="E8" s="2" t="s">
        <v>89</v>
      </c>
      <c r="F8" s="3" t="n">
        <v>950</v>
      </c>
      <c r="G8" s="2" t="s">
        <v>90</v>
      </c>
      <c r="H8" s="2" t="s">
        <v>91</v>
      </c>
      <c r="I8" s="2" t="s">
        <v>56</v>
      </c>
      <c r="J8" s="2" t="s">
        <v>57</v>
      </c>
      <c r="K8" s="2" t="s">
        <v>57</v>
      </c>
      <c r="L8" s="2" t="s">
        <v>92</v>
      </c>
      <c r="M8" s="2" t="n">
        <v>2026</v>
      </c>
      <c r="N8" s="4" t="s">
        <v>93</v>
      </c>
      <c r="O8" s="2" t="s">
        <v>85</v>
      </c>
      <c r="P8" s="6" t="s">
        <v>62</v>
      </c>
      <c r="Q8" s="2" t="s">
        <v>94</v>
      </c>
    </row>
    <row r="9" customFormat="false" ht="23.85" hidden="false" customHeight="false" outlineLevel="0" collapsed="false">
      <c r="A9" s="2" t="n">
        <v>8</v>
      </c>
      <c r="B9" s="2" t="s">
        <v>95</v>
      </c>
      <c r="C9" s="2" t="s">
        <v>96</v>
      </c>
      <c r="D9" s="2" t="s">
        <v>97</v>
      </c>
      <c r="E9" s="2" t="s">
        <v>98</v>
      </c>
      <c r="F9" s="3" t="n">
        <v>800</v>
      </c>
      <c r="G9" s="2" t="s">
        <v>79</v>
      </c>
      <c r="H9" s="2" t="s">
        <v>99</v>
      </c>
      <c r="I9" s="2" t="s">
        <v>56</v>
      </c>
      <c r="J9" s="2" t="s">
        <v>57</v>
      </c>
      <c r="K9" s="2" t="s">
        <v>57</v>
      </c>
      <c r="L9" s="2" t="s">
        <v>100</v>
      </c>
      <c r="M9" s="2" t="n">
        <v>2026</v>
      </c>
      <c r="N9" s="4" t="s">
        <v>84</v>
      </c>
      <c r="O9" s="2" t="s">
        <v>85</v>
      </c>
      <c r="P9" s="4" t="s">
        <v>29</v>
      </c>
      <c r="Q9" s="2" t="s">
        <v>101</v>
      </c>
    </row>
    <row r="10" customFormat="false" ht="23.85" hidden="false" customHeight="false" outlineLevel="0" collapsed="false">
      <c r="A10" s="2" t="n">
        <v>9</v>
      </c>
      <c r="B10" s="2" t="s">
        <v>102</v>
      </c>
      <c r="C10" s="2" t="s">
        <v>103</v>
      </c>
      <c r="D10" s="2" t="s">
        <v>19</v>
      </c>
      <c r="E10" s="2" t="s">
        <v>104</v>
      </c>
      <c r="F10" s="3" t="n">
        <v>480</v>
      </c>
      <c r="G10" s="2" t="s">
        <v>79</v>
      </c>
      <c r="H10" s="2" t="s">
        <v>105</v>
      </c>
      <c r="I10" s="2" t="s">
        <v>106</v>
      </c>
      <c r="J10" s="2" t="s">
        <v>107</v>
      </c>
      <c r="K10" s="2" t="s">
        <v>108</v>
      </c>
      <c r="L10" s="2" t="s">
        <v>109</v>
      </c>
      <c r="M10" s="2" t="n">
        <v>2026</v>
      </c>
      <c r="N10" s="4" t="s">
        <v>110</v>
      </c>
      <c r="O10" s="2" t="s">
        <v>61</v>
      </c>
      <c r="P10" s="6" t="s">
        <v>62</v>
      </c>
      <c r="Q10" s="2" t="s">
        <v>111</v>
      </c>
    </row>
    <row r="11" customFormat="false" ht="23.85" hidden="false" customHeight="false" outlineLevel="0" collapsed="false">
      <c r="A11" s="2" t="n">
        <v>10</v>
      </c>
      <c r="B11" s="2" t="s">
        <v>112</v>
      </c>
      <c r="C11" s="2" t="s">
        <v>18</v>
      </c>
      <c r="D11" s="2" t="s">
        <v>19</v>
      </c>
      <c r="E11" s="2" t="s">
        <v>113</v>
      </c>
      <c r="F11" s="3" t="n">
        <v>450</v>
      </c>
      <c r="G11" s="2" t="s">
        <v>114</v>
      </c>
      <c r="H11" s="2" t="s">
        <v>115</v>
      </c>
      <c r="I11" s="2" t="s">
        <v>106</v>
      </c>
      <c r="J11" s="2" t="s">
        <v>116</v>
      </c>
      <c r="K11" s="2" t="s">
        <v>117</v>
      </c>
      <c r="L11" s="2" t="s">
        <v>118</v>
      </c>
      <c r="M11" s="2" t="n">
        <v>2026</v>
      </c>
      <c r="N11" s="4" t="s">
        <v>119</v>
      </c>
      <c r="O11" s="2" t="s">
        <v>120</v>
      </c>
      <c r="P11" s="4" t="s">
        <v>29</v>
      </c>
      <c r="Q11" s="2" t="s">
        <v>121</v>
      </c>
    </row>
    <row r="12" customFormat="false" ht="35.05" hidden="false" customHeight="false" outlineLevel="0" collapsed="false">
      <c r="A12" s="2" t="n">
        <v>11</v>
      </c>
      <c r="B12" s="2" t="s">
        <v>122</v>
      </c>
      <c r="C12" s="2" t="s">
        <v>18</v>
      </c>
      <c r="D12" s="2" t="s">
        <v>123</v>
      </c>
      <c r="E12" s="2" t="s">
        <v>124</v>
      </c>
      <c r="F12" s="3" t="n">
        <v>4000</v>
      </c>
      <c r="G12" s="2" t="s">
        <v>79</v>
      </c>
      <c r="H12" s="2" t="s">
        <v>125</v>
      </c>
      <c r="I12" s="2" t="s">
        <v>126</v>
      </c>
      <c r="J12" s="2" t="s">
        <v>127</v>
      </c>
      <c r="K12" s="2" t="s">
        <v>128</v>
      </c>
      <c r="L12" s="2" t="s">
        <v>129</v>
      </c>
      <c r="M12" s="2" t="n">
        <v>2027</v>
      </c>
      <c r="N12" s="2" t="s">
        <v>130</v>
      </c>
      <c r="O12" s="2" t="s">
        <v>131</v>
      </c>
      <c r="P12" s="5" t="s">
        <v>42</v>
      </c>
      <c r="Q12" s="2" t="s">
        <v>132</v>
      </c>
    </row>
    <row r="13" customFormat="false" ht="35.05" hidden="false" customHeight="false" outlineLevel="0" collapsed="false">
      <c r="A13" s="2" t="n">
        <v>12</v>
      </c>
      <c r="B13" s="2" t="s">
        <v>133</v>
      </c>
      <c r="C13" s="2" t="s">
        <v>18</v>
      </c>
      <c r="D13" s="2" t="s">
        <v>123</v>
      </c>
      <c r="E13" s="2" t="s">
        <v>134</v>
      </c>
      <c r="F13" s="3" t="n">
        <v>2800</v>
      </c>
      <c r="G13" s="2" t="s">
        <v>135</v>
      </c>
      <c r="H13" s="2" t="s">
        <v>116</v>
      </c>
      <c r="I13" s="2" t="s">
        <v>136</v>
      </c>
      <c r="J13" s="2" t="s">
        <v>127</v>
      </c>
      <c r="K13" s="2" t="s">
        <v>137</v>
      </c>
      <c r="L13" s="2" t="s">
        <v>138</v>
      </c>
      <c r="M13" s="2" t="n">
        <v>2027</v>
      </c>
      <c r="N13" s="2" t="s">
        <v>130</v>
      </c>
      <c r="O13" s="2" t="s">
        <v>139</v>
      </c>
      <c r="P13" s="5" t="s">
        <v>42</v>
      </c>
      <c r="Q13" s="2" t="s">
        <v>140</v>
      </c>
    </row>
    <row r="14" customFormat="false" ht="35.05" hidden="false" customHeight="false" outlineLevel="0" collapsed="false">
      <c r="A14" s="2" t="n">
        <v>13</v>
      </c>
      <c r="B14" s="2" t="s">
        <v>122</v>
      </c>
      <c r="C14" s="2" t="s">
        <v>18</v>
      </c>
      <c r="D14" s="2" t="s">
        <v>97</v>
      </c>
      <c r="E14" s="2" t="s">
        <v>141</v>
      </c>
      <c r="F14" s="3" t="n">
        <v>1200</v>
      </c>
      <c r="G14" s="2" t="s">
        <v>46</v>
      </c>
      <c r="H14" s="2" t="s">
        <v>142</v>
      </c>
      <c r="I14" s="2" t="s">
        <v>48</v>
      </c>
      <c r="J14" s="2" t="s">
        <v>143</v>
      </c>
      <c r="K14" s="2" t="s">
        <v>143</v>
      </c>
      <c r="L14" s="2" t="s">
        <v>144</v>
      </c>
      <c r="M14" s="2" t="n">
        <v>2027</v>
      </c>
      <c r="N14" s="2" t="s">
        <v>130</v>
      </c>
      <c r="O14" s="2" t="s">
        <v>145</v>
      </c>
      <c r="P14" s="5" t="s">
        <v>42</v>
      </c>
      <c r="Q14" s="2" t="s">
        <v>146</v>
      </c>
    </row>
    <row r="15" customFormat="false" ht="23.85" hidden="false" customHeight="false" outlineLevel="0" collapsed="false">
      <c r="A15" s="2" t="n">
        <v>14</v>
      </c>
      <c r="B15" s="2" t="s">
        <v>147</v>
      </c>
      <c r="C15" s="2" t="s">
        <v>148</v>
      </c>
      <c r="D15" s="2" t="s">
        <v>19</v>
      </c>
      <c r="E15" s="2" t="s">
        <v>149</v>
      </c>
      <c r="F15" s="3" t="n">
        <v>1100</v>
      </c>
      <c r="G15" s="2" t="s">
        <v>150</v>
      </c>
      <c r="H15" s="2" t="s">
        <v>117</v>
      </c>
      <c r="I15" s="2" t="s">
        <v>151</v>
      </c>
      <c r="J15" s="2" t="s">
        <v>152</v>
      </c>
      <c r="K15" s="2" t="s">
        <v>153</v>
      </c>
      <c r="L15" s="2" t="s">
        <v>154</v>
      </c>
      <c r="M15" s="2" t="n">
        <v>2027</v>
      </c>
      <c r="N15" s="2" t="s">
        <v>130</v>
      </c>
      <c r="O15" s="2" t="s">
        <v>155</v>
      </c>
      <c r="P15" s="5" t="s">
        <v>42</v>
      </c>
      <c r="Q15" s="2" t="s">
        <v>156</v>
      </c>
    </row>
    <row r="16" customFormat="false" ht="23.85" hidden="false" customHeight="false" outlineLevel="0" collapsed="false">
      <c r="A16" s="2" t="n">
        <v>15</v>
      </c>
      <c r="B16" s="2" t="s">
        <v>157</v>
      </c>
      <c r="C16" s="2" t="s">
        <v>18</v>
      </c>
      <c r="D16" s="2" t="s">
        <v>97</v>
      </c>
      <c r="E16" s="2" t="s">
        <v>158</v>
      </c>
      <c r="F16" s="3" t="n">
        <v>700</v>
      </c>
      <c r="G16" s="2" t="s">
        <v>159</v>
      </c>
      <c r="H16" s="2" t="s">
        <v>160</v>
      </c>
      <c r="I16" s="2" t="s">
        <v>161</v>
      </c>
      <c r="J16" s="2" t="s">
        <v>162</v>
      </c>
      <c r="K16" s="2" t="s">
        <v>163</v>
      </c>
      <c r="L16" s="2" t="s">
        <v>164</v>
      </c>
      <c r="M16" s="2" t="n">
        <v>2027</v>
      </c>
      <c r="N16" s="2" t="s">
        <v>165</v>
      </c>
      <c r="O16" s="2" t="s">
        <v>166</v>
      </c>
      <c r="P16" s="6" t="s">
        <v>62</v>
      </c>
      <c r="Q16" s="2" t="s">
        <v>167</v>
      </c>
    </row>
    <row r="17" customFormat="false" ht="23.85" hidden="false" customHeight="false" outlineLevel="0" collapsed="false">
      <c r="A17" s="2" t="n">
        <v>16</v>
      </c>
      <c r="B17" s="2" t="s">
        <v>168</v>
      </c>
      <c r="C17" s="2" t="s">
        <v>18</v>
      </c>
      <c r="D17" s="2" t="s">
        <v>169</v>
      </c>
      <c r="E17" s="2" t="s">
        <v>170</v>
      </c>
      <c r="F17" s="3" t="n">
        <v>428</v>
      </c>
      <c r="G17" s="2" t="s">
        <v>171</v>
      </c>
      <c r="H17" s="2" t="s">
        <v>172</v>
      </c>
      <c r="I17" s="2" t="s">
        <v>173</v>
      </c>
      <c r="J17" s="2" t="s">
        <v>174</v>
      </c>
      <c r="K17" s="2" t="s">
        <v>175</v>
      </c>
      <c r="L17" s="2" t="s">
        <v>176</v>
      </c>
      <c r="M17" s="2" t="n">
        <v>2027</v>
      </c>
      <c r="N17" s="2" t="s">
        <v>177</v>
      </c>
      <c r="O17" s="2" t="s">
        <v>61</v>
      </c>
      <c r="P17" s="4" t="s">
        <v>29</v>
      </c>
      <c r="Q17" s="2" t="s">
        <v>178</v>
      </c>
    </row>
    <row r="18" customFormat="false" ht="23.85" hidden="false" customHeight="false" outlineLevel="0" collapsed="false">
      <c r="A18" s="2" t="n">
        <v>17</v>
      </c>
      <c r="B18" s="2" t="s">
        <v>179</v>
      </c>
      <c r="C18" s="2" t="s">
        <v>180</v>
      </c>
      <c r="D18" s="2" t="s">
        <v>169</v>
      </c>
      <c r="E18" s="2" t="s">
        <v>181</v>
      </c>
      <c r="F18" s="3" t="n">
        <v>150</v>
      </c>
      <c r="G18" s="2" t="s">
        <v>46</v>
      </c>
      <c r="H18" s="2" t="s">
        <v>182</v>
      </c>
      <c r="I18" s="2" t="s">
        <v>106</v>
      </c>
      <c r="J18" s="2" t="s">
        <v>183</v>
      </c>
      <c r="K18" s="2" t="s">
        <v>184</v>
      </c>
      <c r="L18" s="2" t="s">
        <v>185</v>
      </c>
      <c r="M18" s="2" t="n">
        <v>2027</v>
      </c>
      <c r="N18" s="2" t="s">
        <v>130</v>
      </c>
      <c r="O18" s="2" t="s">
        <v>186</v>
      </c>
      <c r="P18" s="4" t="s">
        <v>29</v>
      </c>
      <c r="Q18" s="2" t="s">
        <v>187</v>
      </c>
    </row>
    <row r="19" customFormat="false" ht="23.85" hidden="false" customHeight="false" outlineLevel="0" collapsed="false">
      <c r="A19" s="2" t="n">
        <v>18</v>
      </c>
      <c r="B19" s="2" t="s">
        <v>133</v>
      </c>
      <c r="C19" s="2" t="s">
        <v>18</v>
      </c>
      <c r="D19" s="2" t="s">
        <v>97</v>
      </c>
      <c r="E19" s="2" t="s">
        <v>188</v>
      </c>
      <c r="F19" s="3" t="n">
        <v>120</v>
      </c>
      <c r="G19" s="2" t="s">
        <v>46</v>
      </c>
      <c r="H19" s="2" t="s">
        <v>189</v>
      </c>
      <c r="I19" s="2" t="s">
        <v>106</v>
      </c>
      <c r="J19" s="2" t="s">
        <v>190</v>
      </c>
      <c r="K19" s="2" t="s">
        <v>191</v>
      </c>
      <c r="L19" s="2" t="s">
        <v>176</v>
      </c>
      <c r="M19" s="2" t="n">
        <v>2027</v>
      </c>
      <c r="N19" s="2" t="s">
        <v>165</v>
      </c>
      <c r="O19" s="2" t="s">
        <v>192</v>
      </c>
      <c r="P19" s="4" t="s">
        <v>29</v>
      </c>
      <c r="Q19" s="2" t="s">
        <v>193</v>
      </c>
    </row>
    <row r="20" customFormat="false" ht="15" hidden="false" customHeight="false" outlineLevel="0" collapsed="false">
      <c r="A20" s="2" t="n">
        <v>19</v>
      </c>
      <c r="B20" s="2" t="s">
        <v>194</v>
      </c>
      <c r="C20" s="2" t="s">
        <v>18</v>
      </c>
      <c r="D20" s="2" t="s">
        <v>195</v>
      </c>
      <c r="E20" s="2" t="s">
        <v>196</v>
      </c>
      <c r="F20" s="3" t="n">
        <v>120</v>
      </c>
      <c r="G20" s="2" t="s">
        <v>197</v>
      </c>
      <c r="H20" s="2" t="s">
        <v>198</v>
      </c>
      <c r="I20" s="2" t="s">
        <v>199</v>
      </c>
      <c r="J20" s="2" t="s">
        <v>200</v>
      </c>
      <c r="K20" s="2" t="s">
        <v>201</v>
      </c>
      <c r="L20" s="2" t="s">
        <v>176</v>
      </c>
      <c r="M20" s="2" t="n">
        <v>2027</v>
      </c>
      <c r="N20" s="2" t="s">
        <v>177</v>
      </c>
      <c r="O20" s="2" t="s">
        <v>202</v>
      </c>
      <c r="P20" s="5" t="s">
        <v>42</v>
      </c>
      <c r="Q20" s="2" t="s">
        <v>203</v>
      </c>
    </row>
    <row r="21" customFormat="false" ht="35.05" hidden="false" customHeight="false" outlineLevel="0" collapsed="false">
      <c r="A21" s="2" t="n">
        <v>20</v>
      </c>
      <c r="B21" s="2" t="s">
        <v>204</v>
      </c>
      <c r="C21" s="2" t="s">
        <v>205</v>
      </c>
      <c r="D21" s="2" t="s">
        <v>53</v>
      </c>
      <c r="E21" s="2" t="s">
        <v>206</v>
      </c>
      <c r="F21" s="3" t="n">
        <v>10000</v>
      </c>
      <c r="G21" s="2" t="s">
        <v>207</v>
      </c>
      <c r="H21" s="2" t="s">
        <v>208</v>
      </c>
      <c r="I21" s="2" t="s">
        <v>209</v>
      </c>
      <c r="J21" s="2" t="s">
        <v>210</v>
      </c>
      <c r="K21" s="2" t="s">
        <v>211</v>
      </c>
      <c r="L21" s="2" t="s">
        <v>212</v>
      </c>
      <c r="M21" s="2" t="n">
        <v>2028</v>
      </c>
      <c r="N21" s="2" t="s">
        <v>130</v>
      </c>
      <c r="O21" s="2" t="s">
        <v>213</v>
      </c>
      <c r="P21" s="5" t="s">
        <v>42</v>
      </c>
      <c r="Q21" s="2" t="s">
        <v>214</v>
      </c>
    </row>
    <row r="22" customFormat="false" ht="35.05" hidden="false" customHeight="false" outlineLevel="0" collapsed="false">
      <c r="A22" s="2" t="n">
        <v>21</v>
      </c>
      <c r="B22" s="2" t="s">
        <v>168</v>
      </c>
      <c r="C22" s="2" t="s">
        <v>18</v>
      </c>
      <c r="D22" s="2" t="s">
        <v>19</v>
      </c>
      <c r="E22" s="2" t="s">
        <v>215</v>
      </c>
      <c r="F22" s="3" t="n">
        <v>4600</v>
      </c>
      <c r="G22" s="2" t="s">
        <v>216</v>
      </c>
      <c r="H22" s="2" t="s">
        <v>217</v>
      </c>
      <c r="I22" s="2" t="s">
        <v>48</v>
      </c>
      <c r="J22" s="2" t="s">
        <v>218</v>
      </c>
      <c r="K22" s="2" t="s">
        <v>218</v>
      </c>
      <c r="L22" s="2" t="s">
        <v>212</v>
      </c>
      <c r="M22" s="2" t="n">
        <v>2028</v>
      </c>
      <c r="N22" s="2" t="s">
        <v>130</v>
      </c>
      <c r="O22" s="2" t="s">
        <v>219</v>
      </c>
      <c r="P22" s="5" t="s">
        <v>42</v>
      </c>
      <c r="Q22" s="2" t="s">
        <v>220</v>
      </c>
    </row>
    <row r="23" customFormat="false" ht="35.05" hidden="false" customHeight="false" outlineLevel="0" collapsed="false">
      <c r="A23" s="2" t="n">
        <v>22</v>
      </c>
      <c r="B23" s="2" t="s">
        <v>221</v>
      </c>
      <c r="C23" s="2" t="s">
        <v>65</v>
      </c>
      <c r="D23" s="2" t="s">
        <v>169</v>
      </c>
      <c r="E23" s="2" t="s">
        <v>222</v>
      </c>
      <c r="F23" s="3" t="n">
        <v>1935</v>
      </c>
      <c r="G23" s="2" t="s">
        <v>79</v>
      </c>
      <c r="H23" s="2" t="s">
        <v>223</v>
      </c>
      <c r="I23" s="2" t="s">
        <v>224</v>
      </c>
      <c r="J23" s="2" t="s">
        <v>225</v>
      </c>
      <c r="K23" s="2" t="s">
        <v>225</v>
      </c>
      <c r="L23" s="2" t="s">
        <v>226</v>
      </c>
      <c r="M23" s="2" t="n">
        <v>2028</v>
      </c>
      <c r="N23" s="2" t="s">
        <v>227</v>
      </c>
      <c r="O23" s="2" t="s">
        <v>228</v>
      </c>
      <c r="P23" s="4" t="s">
        <v>29</v>
      </c>
      <c r="Q23" s="2" t="s">
        <v>229</v>
      </c>
    </row>
    <row r="24" customFormat="false" ht="35.05" hidden="false" customHeight="false" outlineLevel="0" collapsed="false">
      <c r="A24" s="2" t="n">
        <v>23</v>
      </c>
      <c r="B24" s="2" t="s">
        <v>230</v>
      </c>
      <c r="C24" s="2" t="s">
        <v>32</v>
      </c>
      <c r="D24" s="2" t="s">
        <v>33</v>
      </c>
      <c r="E24" s="2" t="s">
        <v>231</v>
      </c>
      <c r="F24" s="3" t="n">
        <v>1200</v>
      </c>
      <c r="G24" s="2" t="s">
        <v>46</v>
      </c>
      <c r="H24" s="2" t="s">
        <v>232</v>
      </c>
      <c r="I24" s="2" t="s">
        <v>106</v>
      </c>
      <c r="J24" s="2" t="s">
        <v>233</v>
      </c>
      <c r="K24" s="2" t="s">
        <v>234</v>
      </c>
      <c r="L24" s="2" t="s">
        <v>235</v>
      </c>
      <c r="M24" s="2" t="n">
        <v>2028</v>
      </c>
      <c r="N24" s="2" t="s">
        <v>130</v>
      </c>
      <c r="O24" s="2" t="s">
        <v>236</v>
      </c>
      <c r="P24" s="5" t="s">
        <v>42</v>
      </c>
      <c r="Q24" s="2" t="s">
        <v>237</v>
      </c>
    </row>
    <row r="25" customFormat="false" ht="23.85" hidden="false" customHeight="false" outlineLevel="0" collapsed="false">
      <c r="A25" s="2" t="n">
        <v>24</v>
      </c>
      <c r="B25" s="2" t="s">
        <v>133</v>
      </c>
      <c r="C25" s="2" t="s">
        <v>18</v>
      </c>
      <c r="D25" s="2" t="s">
        <v>19</v>
      </c>
      <c r="E25" s="2" t="s">
        <v>238</v>
      </c>
      <c r="F25" s="3" t="n">
        <v>800</v>
      </c>
      <c r="G25" s="2" t="s">
        <v>239</v>
      </c>
      <c r="H25" s="2" t="s">
        <v>240</v>
      </c>
      <c r="I25" s="2" t="s">
        <v>241</v>
      </c>
      <c r="J25" s="2" t="s">
        <v>242</v>
      </c>
      <c r="K25" s="2" t="s">
        <v>243</v>
      </c>
      <c r="L25" s="2" t="s">
        <v>244</v>
      </c>
      <c r="M25" s="2" t="n">
        <v>2028</v>
      </c>
      <c r="N25" s="2" t="s">
        <v>130</v>
      </c>
      <c r="O25" s="2" t="s">
        <v>245</v>
      </c>
      <c r="P25" s="5" t="s">
        <v>42</v>
      </c>
      <c r="Q25" s="2" t="s">
        <v>246</v>
      </c>
    </row>
    <row r="26" customFormat="false" ht="35.05" hidden="false" customHeight="false" outlineLevel="0" collapsed="false">
      <c r="A26" s="2" t="n">
        <v>25</v>
      </c>
      <c r="B26" s="2" t="s">
        <v>133</v>
      </c>
      <c r="C26" s="2" t="s">
        <v>18</v>
      </c>
      <c r="D26" s="2" t="s">
        <v>195</v>
      </c>
      <c r="E26" s="2" t="s">
        <v>247</v>
      </c>
      <c r="F26" s="3" t="n">
        <v>500</v>
      </c>
      <c r="G26" s="2" t="s">
        <v>46</v>
      </c>
      <c r="H26" s="2" t="s">
        <v>248</v>
      </c>
      <c r="I26" s="2" t="s">
        <v>173</v>
      </c>
      <c r="J26" s="2" t="s">
        <v>249</v>
      </c>
      <c r="K26" s="2" t="s">
        <v>250</v>
      </c>
      <c r="L26" s="2" t="s">
        <v>185</v>
      </c>
      <c r="M26" s="2" t="n">
        <v>2028</v>
      </c>
      <c r="N26" s="2" t="s">
        <v>130</v>
      </c>
      <c r="O26" s="2" t="s">
        <v>251</v>
      </c>
      <c r="P26" s="4" t="s">
        <v>29</v>
      </c>
      <c r="Q26" s="2" t="s">
        <v>252</v>
      </c>
    </row>
    <row r="27" customFormat="false" ht="15" hidden="false" customHeight="false" outlineLevel="0" collapsed="false">
      <c r="A27" s="2" t="n">
        <v>26</v>
      </c>
      <c r="B27" s="2" t="s">
        <v>133</v>
      </c>
      <c r="C27" s="2" t="s">
        <v>18</v>
      </c>
      <c r="D27" s="2" t="s">
        <v>253</v>
      </c>
      <c r="E27" s="2" t="s">
        <v>254</v>
      </c>
      <c r="F27" s="3" t="n">
        <v>500</v>
      </c>
      <c r="G27" s="2" t="s">
        <v>255</v>
      </c>
      <c r="H27" s="2" t="s">
        <v>256</v>
      </c>
      <c r="I27" s="2" t="s">
        <v>257</v>
      </c>
      <c r="J27" s="2" t="s">
        <v>242</v>
      </c>
      <c r="K27" s="2" t="s">
        <v>243</v>
      </c>
      <c r="L27" s="2" t="s">
        <v>244</v>
      </c>
      <c r="M27" s="2" t="n">
        <v>2028</v>
      </c>
      <c r="N27" s="2" t="s">
        <v>130</v>
      </c>
      <c r="O27" s="2" t="s">
        <v>258</v>
      </c>
      <c r="P27" s="4" t="s">
        <v>29</v>
      </c>
      <c r="Q27" s="2" t="s">
        <v>259</v>
      </c>
    </row>
    <row r="28" customFormat="false" ht="23.85" hidden="false" customHeight="false" outlineLevel="0" collapsed="false">
      <c r="A28" s="2" t="n">
        <v>27</v>
      </c>
      <c r="B28" s="2" t="s">
        <v>260</v>
      </c>
      <c r="C28" s="2" t="s">
        <v>65</v>
      </c>
      <c r="D28" s="2" t="s">
        <v>195</v>
      </c>
      <c r="E28" s="2" t="s">
        <v>261</v>
      </c>
      <c r="F28" s="3" t="n">
        <v>300</v>
      </c>
      <c r="G28" s="2" t="s">
        <v>46</v>
      </c>
      <c r="H28" s="2" t="s">
        <v>262</v>
      </c>
      <c r="I28" s="2" t="s">
        <v>224</v>
      </c>
      <c r="J28" s="2" t="s">
        <v>225</v>
      </c>
      <c r="K28" s="2" t="s">
        <v>225</v>
      </c>
      <c r="L28" s="2" t="s">
        <v>226</v>
      </c>
      <c r="M28" s="2" t="n">
        <v>2028</v>
      </c>
      <c r="N28" s="2" t="s">
        <v>227</v>
      </c>
      <c r="O28" s="2" t="s">
        <v>263</v>
      </c>
      <c r="P28" s="4" t="s">
        <v>29</v>
      </c>
      <c r="Q28" s="2" t="s">
        <v>264</v>
      </c>
    </row>
    <row r="29" customFormat="false" ht="23.85" hidden="false" customHeight="false" outlineLevel="0" collapsed="false">
      <c r="A29" s="2" t="n">
        <v>28</v>
      </c>
      <c r="B29" s="2" t="s">
        <v>265</v>
      </c>
      <c r="C29" s="2" t="s">
        <v>18</v>
      </c>
      <c r="D29" s="2" t="s">
        <v>19</v>
      </c>
      <c r="E29" s="2" t="s">
        <v>266</v>
      </c>
      <c r="F29" s="3" t="n">
        <v>240</v>
      </c>
      <c r="G29" s="2" t="s">
        <v>267</v>
      </c>
      <c r="H29" s="2" t="s">
        <v>71</v>
      </c>
      <c r="I29" s="2" t="s">
        <v>48</v>
      </c>
      <c r="J29" s="2" t="s">
        <v>244</v>
      </c>
      <c r="K29" s="2" t="s">
        <v>244</v>
      </c>
      <c r="L29" s="2" t="s">
        <v>127</v>
      </c>
      <c r="M29" s="2" t="n">
        <v>2028</v>
      </c>
      <c r="N29" s="2" t="s">
        <v>130</v>
      </c>
      <c r="O29" s="2" t="s">
        <v>61</v>
      </c>
      <c r="P29" s="4" t="s">
        <v>29</v>
      </c>
      <c r="Q29" s="2" t="s">
        <v>268</v>
      </c>
    </row>
    <row r="30" customFormat="false" ht="35.05" hidden="false" customHeight="false" outlineLevel="0" collapsed="false">
      <c r="A30" s="2" t="n">
        <v>29</v>
      </c>
      <c r="B30" s="2" t="s">
        <v>17</v>
      </c>
      <c r="C30" s="2" t="s">
        <v>18</v>
      </c>
      <c r="D30" s="2" t="s">
        <v>19</v>
      </c>
      <c r="E30" s="2" t="s">
        <v>269</v>
      </c>
      <c r="F30" s="3" t="n">
        <v>5500</v>
      </c>
      <c r="G30" s="2" t="s">
        <v>270</v>
      </c>
      <c r="H30" s="2" t="s">
        <v>271</v>
      </c>
      <c r="I30" s="2" t="s">
        <v>173</v>
      </c>
      <c r="J30" s="2" t="s">
        <v>127</v>
      </c>
      <c r="K30" s="2" t="s">
        <v>272</v>
      </c>
      <c r="L30" s="2" t="s">
        <v>273</v>
      </c>
      <c r="M30" s="2" t="n">
        <v>2029</v>
      </c>
      <c r="N30" s="2" t="s">
        <v>130</v>
      </c>
      <c r="O30" s="2" t="s">
        <v>274</v>
      </c>
      <c r="P30" s="5" t="s">
        <v>42</v>
      </c>
      <c r="Q30" s="2" t="s">
        <v>275</v>
      </c>
    </row>
    <row r="31" customFormat="false" ht="23.85" hidden="false" customHeight="false" outlineLevel="0" collapsed="false">
      <c r="A31" s="2" t="n">
        <v>30</v>
      </c>
      <c r="B31" s="2" t="s">
        <v>44</v>
      </c>
      <c r="C31" s="2" t="s">
        <v>18</v>
      </c>
      <c r="D31" s="2" t="s">
        <v>19</v>
      </c>
      <c r="E31" s="2" t="s">
        <v>276</v>
      </c>
      <c r="F31" s="3" t="n">
        <v>900</v>
      </c>
      <c r="G31" s="2" t="s">
        <v>46</v>
      </c>
      <c r="H31" s="2" t="s">
        <v>277</v>
      </c>
      <c r="I31" s="2" t="s">
        <v>278</v>
      </c>
      <c r="J31" s="2" t="s">
        <v>279</v>
      </c>
      <c r="K31" s="2" t="s">
        <v>279</v>
      </c>
      <c r="L31" s="2" t="s">
        <v>273</v>
      </c>
      <c r="M31" s="2" t="n">
        <v>2029</v>
      </c>
      <c r="N31" s="2" t="s">
        <v>130</v>
      </c>
      <c r="O31" s="2" t="s">
        <v>280</v>
      </c>
      <c r="P31" s="4" t="s">
        <v>29</v>
      </c>
      <c r="Q31" s="2" t="s">
        <v>281</v>
      </c>
    </row>
    <row r="32" customFormat="false" ht="23.85" hidden="false" customHeight="false" outlineLevel="0" collapsed="false">
      <c r="A32" s="2" t="n">
        <v>31</v>
      </c>
      <c r="B32" s="2" t="s">
        <v>282</v>
      </c>
      <c r="C32" s="2" t="s">
        <v>103</v>
      </c>
      <c r="D32" s="2" t="s">
        <v>97</v>
      </c>
      <c r="E32" s="2" t="s">
        <v>283</v>
      </c>
      <c r="F32" s="3" t="n">
        <v>300</v>
      </c>
      <c r="G32" s="2" t="s">
        <v>79</v>
      </c>
      <c r="H32" s="2" t="s">
        <v>284</v>
      </c>
      <c r="I32" s="2" t="s">
        <v>56</v>
      </c>
      <c r="J32" s="2" t="s">
        <v>57</v>
      </c>
      <c r="K32" s="2" t="s">
        <v>225</v>
      </c>
      <c r="L32" s="2" t="s">
        <v>81</v>
      </c>
      <c r="M32" s="2" t="n">
        <v>2029</v>
      </c>
      <c r="N32" s="2" t="s">
        <v>227</v>
      </c>
      <c r="O32" s="2" t="s">
        <v>57</v>
      </c>
      <c r="P32" s="6" t="s">
        <v>62</v>
      </c>
      <c r="Q32" s="2" t="s">
        <v>285</v>
      </c>
    </row>
    <row r="33" customFormat="false" ht="23.85" hidden="false" customHeight="false" outlineLevel="0" collapsed="false">
      <c r="A33" s="2" t="n">
        <v>32</v>
      </c>
      <c r="B33" s="2" t="s">
        <v>286</v>
      </c>
      <c r="C33" s="2" t="s">
        <v>18</v>
      </c>
      <c r="D33" s="2" t="s">
        <v>19</v>
      </c>
      <c r="E33" s="2" t="s">
        <v>287</v>
      </c>
      <c r="F33" s="3" t="n">
        <v>300</v>
      </c>
      <c r="G33" s="2" t="s">
        <v>288</v>
      </c>
      <c r="H33" s="2" t="s">
        <v>289</v>
      </c>
      <c r="I33" s="2" t="s">
        <v>48</v>
      </c>
      <c r="J33" s="2" t="s">
        <v>225</v>
      </c>
      <c r="K33" s="2" t="s">
        <v>225</v>
      </c>
      <c r="L33" s="2" t="s">
        <v>81</v>
      </c>
      <c r="M33" s="2" t="n">
        <v>2029</v>
      </c>
      <c r="N33" s="2" t="s">
        <v>227</v>
      </c>
      <c r="O33" s="2" t="s">
        <v>61</v>
      </c>
      <c r="P33" s="4" t="s">
        <v>29</v>
      </c>
      <c r="Q33" s="2" t="s">
        <v>290</v>
      </c>
    </row>
    <row r="34" customFormat="false" ht="23.85" hidden="false" customHeight="false" outlineLevel="0" collapsed="false">
      <c r="A34" s="2" t="n">
        <v>33</v>
      </c>
      <c r="B34" s="2" t="s">
        <v>51</v>
      </c>
      <c r="C34" s="2" t="s">
        <v>52</v>
      </c>
      <c r="D34" s="2" t="s">
        <v>97</v>
      </c>
      <c r="E34" s="2" t="s">
        <v>291</v>
      </c>
      <c r="F34" s="3" t="n">
        <v>220</v>
      </c>
      <c r="G34" s="2" t="s">
        <v>79</v>
      </c>
      <c r="H34" s="2" t="s">
        <v>292</v>
      </c>
      <c r="I34" s="2" t="s">
        <v>56</v>
      </c>
      <c r="J34" s="2" t="s">
        <v>57</v>
      </c>
      <c r="K34" s="2" t="s">
        <v>225</v>
      </c>
      <c r="L34" s="2" t="s">
        <v>81</v>
      </c>
      <c r="M34" s="2" t="n">
        <v>2029</v>
      </c>
      <c r="N34" s="2" t="s">
        <v>227</v>
      </c>
      <c r="O34" s="2" t="s">
        <v>61</v>
      </c>
      <c r="P34" s="6" t="s">
        <v>62</v>
      </c>
      <c r="Q34" s="2" t="s">
        <v>293</v>
      </c>
    </row>
    <row r="35" customFormat="false" ht="35.05" hidden="false" customHeight="false" outlineLevel="0" collapsed="false">
      <c r="A35" s="2" t="n">
        <v>34</v>
      </c>
      <c r="B35" s="2" t="s">
        <v>294</v>
      </c>
      <c r="C35" s="2" t="s">
        <v>18</v>
      </c>
      <c r="D35" s="2" t="s">
        <v>195</v>
      </c>
      <c r="E35" s="2" t="s">
        <v>295</v>
      </c>
      <c r="F35" s="3" t="n">
        <v>200</v>
      </c>
      <c r="G35" s="2" t="s">
        <v>296</v>
      </c>
      <c r="H35" s="2" t="s">
        <v>297</v>
      </c>
      <c r="I35" s="2" t="s">
        <v>224</v>
      </c>
      <c r="J35" s="2" t="s">
        <v>225</v>
      </c>
      <c r="K35" s="2" t="s">
        <v>225</v>
      </c>
      <c r="L35" s="2" t="s">
        <v>226</v>
      </c>
      <c r="M35" s="2" t="n">
        <v>2029</v>
      </c>
      <c r="N35" s="2" t="s">
        <v>227</v>
      </c>
      <c r="O35" s="2" t="s">
        <v>298</v>
      </c>
      <c r="P35" s="4" t="s">
        <v>29</v>
      </c>
      <c r="Q35" s="2" t="s">
        <v>299</v>
      </c>
    </row>
    <row r="36" customFormat="false" ht="23.85" hidden="false" customHeight="false" outlineLevel="0" collapsed="false">
      <c r="A36" s="2" t="n">
        <v>35</v>
      </c>
      <c r="B36" s="2" t="s">
        <v>282</v>
      </c>
      <c r="C36" s="2" t="s">
        <v>103</v>
      </c>
      <c r="D36" s="2" t="s">
        <v>19</v>
      </c>
      <c r="E36" s="2" t="s">
        <v>300</v>
      </c>
      <c r="F36" s="3" t="n">
        <v>800</v>
      </c>
      <c r="G36" s="2" t="s">
        <v>301</v>
      </c>
      <c r="H36" s="2" t="s">
        <v>302</v>
      </c>
      <c r="I36" s="2" t="s">
        <v>48</v>
      </c>
      <c r="J36" s="2" t="s">
        <v>303</v>
      </c>
      <c r="K36" s="2" t="s">
        <v>303</v>
      </c>
      <c r="L36" s="2" t="s">
        <v>304</v>
      </c>
      <c r="M36" s="2" t="n">
        <v>2030</v>
      </c>
      <c r="N36" s="2" t="s">
        <v>305</v>
      </c>
      <c r="O36" s="2" t="s">
        <v>306</v>
      </c>
      <c r="P36" s="5" t="s">
        <v>42</v>
      </c>
      <c r="Q36" s="2" t="s">
        <v>307</v>
      </c>
    </row>
    <row r="37" customFormat="false" ht="23.85" hidden="false" customHeight="false" outlineLevel="0" collapsed="false">
      <c r="A37" s="2" t="n">
        <v>36</v>
      </c>
      <c r="B37" s="2" t="s">
        <v>308</v>
      </c>
      <c r="C37" s="2" t="s">
        <v>103</v>
      </c>
      <c r="D37" s="2" t="s">
        <v>19</v>
      </c>
      <c r="E37" s="2" t="s">
        <v>309</v>
      </c>
      <c r="F37" s="3" t="n">
        <v>1500</v>
      </c>
      <c r="G37" s="2" t="s">
        <v>310</v>
      </c>
      <c r="H37" s="2" t="s">
        <v>311</v>
      </c>
      <c r="I37" s="2" t="s">
        <v>312</v>
      </c>
      <c r="J37" s="2" t="s">
        <v>25</v>
      </c>
      <c r="K37" s="2" t="s">
        <v>25</v>
      </c>
      <c r="L37" s="2" t="s">
        <v>313</v>
      </c>
      <c r="M37" s="2" t="n">
        <v>2031</v>
      </c>
      <c r="N37" s="2" t="s">
        <v>314</v>
      </c>
      <c r="O37" s="2" t="s">
        <v>315</v>
      </c>
      <c r="P37" s="4" t="s">
        <v>29</v>
      </c>
      <c r="Q37" s="2" t="s">
        <v>316</v>
      </c>
    </row>
    <row r="38" customFormat="false" ht="23.85" hidden="false" customHeight="false" outlineLevel="0" collapsed="false">
      <c r="A38" s="2" t="n">
        <v>37</v>
      </c>
      <c r="B38" s="2" t="s">
        <v>17</v>
      </c>
      <c r="C38" s="2" t="s">
        <v>18</v>
      </c>
      <c r="D38" s="2" t="s">
        <v>53</v>
      </c>
      <c r="E38" s="2" t="s">
        <v>317</v>
      </c>
      <c r="F38" s="3" t="n">
        <v>1200</v>
      </c>
      <c r="G38" s="2" t="s">
        <v>46</v>
      </c>
      <c r="H38" s="2" t="s">
        <v>249</v>
      </c>
      <c r="I38" s="2" t="s">
        <v>56</v>
      </c>
      <c r="J38" s="2" t="s">
        <v>57</v>
      </c>
      <c r="K38" s="2" t="s">
        <v>57</v>
      </c>
      <c r="L38" s="2" t="s">
        <v>318</v>
      </c>
      <c r="M38" s="2"/>
      <c r="N38" s="2" t="s">
        <v>130</v>
      </c>
      <c r="O38" s="2" t="s">
        <v>319</v>
      </c>
      <c r="P38" s="4" t="s">
        <v>29</v>
      </c>
      <c r="Q38" s="2" t="s">
        <v>320</v>
      </c>
    </row>
    <row r="39" customFormat="false" ht="15" hidden="false" customHeight="false" outlineLevel="0" collapsed="false">
      <c r="A39" s="2" t="n">
        <v>38</v>
      </c>
      <c r="B39" s="2" t="s">
        <v>321</v>
      </c>
      <c r="C39" s="2" t="s">
        <v>322</v>
      </c>
      <c r="D39" s="2" t="s">
        <v>323</v>
      </c>
      <c r="E39" s="2" t="s">
        <v>324</v>
      </c>
      <c r="F39" s="3" t="n">
        <v>600</v>
      </c>
      <c r="G39" s="2" t="s">
        <v>46</v>
      </c>
      <c r="H39" s="2" t="s">
        <v>325</v>
      </c>
      <c r="I39" s="2" t="s">
        <v>56</v>
      </c>
      <c r="J39" s="2" t="s">
        <v>57</v>
      </c>
      <c r="K39" s="2" t="s">
        <v>57</v>
      </c>
      <c r="L39" s="2" t="s">
        <v>57</v>
      </c>
      <c r="M39" s="2"/>
      <c r="N39" s="2" t="s">
        <v>130</v>
      </c>
      <c r="O39" s="2" t="s">
        <v>326</v>
      </c>
      <c r="P39" s="4" t="s">
        <v>29</v>
      </c>
      <c r="Q39" s="2" t="s">
        <v>327</v>
      </c>
    </row>
    <row r="40" customFormat="false" ht="15" hidden="false" customHeight="false" outlineLevel="0" collapsed="false">
      <c r="A40" s="2" t="n">
        <v>39</v>
      </c>
      <c r="B40" s="2" t="s">
        <v>102</v>
      </c>
      <c r="C40" s="2" t="s">
        <v>103</v>
      </c>
      <c r="D40" s="2" t="s">
        <v>323</v>
      </c>
      <c r="E40" s="2" t="s">
        <v>328</v>
      </c>
      <c r="F40" s="3" t="n">
        <v>580</v>
      </c>
      <c r="G40" s="2" t="s">
        <v>329</v>
      </c>
      <c r="H40" s="2" t="s">
        <v>330</v>
      </c>
      <c r="I40" s="2" t="s">
        <v>56</v>
      </c>
      <c r="J40" s="2" t="s">
        <v>57</v>
      </c>
      <c r="K40" s="2" t="s">
        <v>57</v>
      </c>
      <c r="L40" s="2" t="s">
        <v>57</v>
      </c>
      <c r="M40" s="2"/>
      <c r="N40" s="2" t="s">
        <v>165</v>
      </c>
      <c r="O40" s="2" t="s">
        <v>331</v>
      </c>
      <c r="P40" s="6" t="s">
        <v>62</v>
      </c>
      <c r="Q40" s="2" t="s">
        <v>332</v>
      </c>
    </row>
    <row r="41" customFormat="false" ht="15" hidden="false" customHeight="false" outlineLevel="0" collapsed="false">
      <c r="A41" s="2" t="n">
        <v>40</v>
      </c>
      <c r="B41" s="2" t="s">
        <v>51</v>
      </c>
      <c r="C41" s="2" t="s">
        <v>52</v>
      </c>
      <c r="D41" s="2" t="s">
        <v>169</v>
      </c>
      <c r="E41" s="2" t="s">
        <v>333</v>
      </c>
      <c r="F41" s="3" t="n">
        <v>300</v>
      </c>
      <c r="G41" s="2" t="s">
        <v>334</v>
      </c>
      <c r="H41" s="2" t="s">
        <v>335</v>
      </c>
      <c r="I41" s="2" t="s">
        <v>56</v>
      </c>
      <c r="J41" s="2" t="s">
        <v>57</v>
      </c>
      <c r="K41" s="2" t="s">
        <v>57</v>
      </c>
      <c r="L41" s="2" t="s">
        <v>57</v>
      </c>
      <c r="M41" s="2"/>
      <c r="N41" s="2" t="s">
        <v>60</v>
      </c>
      <c r="O41" s="2" t="s">
        <v>336</v>
      </c>
      <c r="P41" s="6" t="s">
        <v>62</v>
      </c>
      <c r="Q41" s="2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30"/>
  </cols>
  <sheetData>
    <row r="1" customFormat="false" ht="16.15" hidden="false" customHeight="false" outlineLevel="0" collapsed="false">
      <c r="A1" s="7" t="s">
        <v>338</v>
      </c>
    </row>
    <row r="2" customFormat="false" ht="15" hidden="false" customHeight="false" outlineLevel="0" collapsed="false">
      <c r="A2" s="8" t="s">
        <v>339</v>
      </c>
    </row>
    <row r="4" customFormat="false" ht="15" hidden="false" customHeight="false" outlineLevel="0" collapsed="false">
      <c r="A4" s="9" t="s">
        <v>340</v>
      </c>
      <c r="B4" s="9" t="s">
        <v>341</v>
      </c>
      <c r="C4" s="10" t="s">
        <v>342</v>
      </c>
    </row>
    <row r="5" customFormat="false" ht="15" hidden="false" customHeight="false" outlineLevel="0" collapsed="false">
      <c r="A5" s="11" t="s">
        <v>72</v>
      </c>
      <c r="B5" s="11" t="n">
        <f aca="false">COUNTIFS('Frame agreements'!$M$2:$M$41,2026,'Frame agreements'!$N$2:$N$41,"&lt;&gt;Replaced*")</f>
        <v>7</v>
      </c>
      <c r="C5" s="12" t="n">
        <f aca="false">SUMIFS('Frame agreements'!$F$2:$F$41,'Frame agreements'!$M$2:$M$41,2026,'Frame agreements'!$N$2:$N$41,"&lt;&gt;Replaced*")</f>
        <v>8343</v>
      </c>
    </row>
    <row r="6" customFormat="false" ht="15" hidden="false" customHeight="false" outlineLevel="0" collapsed="false">
      <c r="A6" s="11" t="s">
        <v>185</v>
      </c>
      <c r="B6" s="11" t="n">
        <f aca="false">COUNTIFS('Frame agreements'!$M$2:$M$41,2027,'Frame agreements'!$N$2:$N$41,"&lt;&gt;Replaced*")</f>
        <v>9</v>
      </c>
      <c r="C6" s="12" t="n">
        <f aca="false">SUMIFS('Frame agreements'!$F$2:$F$41,'Frame agreements'!$M$2:$M$41,2027,'Frame agreements'!$N$2:$N$41,"&lt;&gt;Replaced*")</f>
        <v>10618</v>
      </c>
    </row>
    <row r="7" customFormat="false" ht="15" hidden="false" customHeight="false" outlineLevel="0" collapsed="false">
      <c r="A7" s="11" t="s">
        <v>244</v>
      </c>
      <c r="B7" s="11" t="n">
        <f aca="false">COUNTIFS('Frame agreements'!$M$2:$M$41,2028,'Frame agreements'!$N$2:$N$41,"&lt;&gt;Replaced*")</f>
        <v>9</v>
      </c>
      <c r="C7" s="12" t="n">
        <f aca="false">SUMIFS('Frame agreements'!$F$2:$F$41,'Frame agreements'!$M$2:$M$41,2028,'Frame agreements'!$N$2:$N$41,"&lt;&gt;Replaced*")</f>
        <v>20075</v>
      </c>
    </row>
    <row r="8" customFormat="false" ht="15" hidden="false" customHeight="false" outlineLevel="0" collapsed="false">
      <c r="A8" s="11" t="s">
        <v>279</v>
      </c>
      <c r="B8" s="11" t="n">
        <f aca="false">COUNTIFS('Frame agreements'!$M$2:$M$41,2029,'Frame agreements'!$N$2:$N$41,"&lt;&gt;Replaced*")</f>
        <v>6</v>
      </c>
      <c r="C8" s="12" t="n">
        <f aca="false">SUMIFS('Frame agreements'!$F$2:$F$41,'Frame agreements'!$M$2:$M$41,2029,'Frame agreements'!$N$2:$N$41,"&lt;&gt;Replaced*")</f>
        <v>7420</v>
      </c>
    </row>
    <row r="9" customFormat="false" ht="15" hidden="false" customHeight="false" outlineLevel="0" collapsed="false">
      <c r="A9" s="11" t="s">
        <v>343</v>
      </c>
      <c r="B9" s="11" t="n">
        <f aca="false">COUNTIFS('Frame agreements'!$M$2:$M$41,2030,'Frame agreements'!$N$2:$N$41,"&lt;&gt;Replaced*")</f>
        <v>1</v>
      </c>
      <c r="C9" s="12" t="n">
        <f aca="false">SUMIFS('Frame agreements'!$F$2:$F$41,'Frame agreements'!$M$2:$M$41,2030,'Frame agreements'!$N$2:$N$41,"&lt;&gt;Replaced*")</f>
        <v>800</v>
      </c>
    </row>
    <row r="10" customFormat="false" ht="15" hidden="false" customHeight="false" outlineLevel="0" collapsed="false">
      <c r="A10" s="11" t="s">
        <v>344</v>
      </c>
      <c r="B10" s="11" t="n">
        <f aca="false">COUNTIFS('Frame agreements'!$M$2:$M$41,2031,'Frame agreements'!$N$2:$N$41,"&lt;&gt;Replaced*")</f>
        <v>1</v>
      </c>
      <c r="C10" s="12" t="n">
        <f aca="false">SUMIFS('Frame agreements'!$F$2:$F$41,'Frame agreements'!$M$2:$M$41,2031,'Frame agreements'!$N$2:$N$41,"&lt;&gt;Replaced*")</f>
        <v>1500</v>
      </c>
    </row>
    <row r="11" customFormat="false" ht="15" hidden="false" customHeight="false" outlineLevel="0" collapsed="false">
      <c r="A11" s="13" t="s">
        <v>345</v>
      </c>
      <c r="B11" s="13" t="n">
        <f aca="false">SUM(B5:B10)</f>
        <v>33</v>
      </c>
      <c r="C11" s="14" t="n">
        <f aca="false">SUM(C5:C10)</f>
        <v>48756</v>
      </c>
    </row>
    <row r="12" customFormat="false" ht="15" hidden="false" customHeight="false" outlineLevel="0" collapsed="false">
      <c r="A12" s="11" t="s">
        <v>346</v>
      </c>
      <c r="B12" s="11" t="n">
        <f aca="false">COUNTIFS('Frame agreements'!$M$2:$M$41,"",'Frame agreements'!$N$2:$N$41,"&lt;&gt;Replaced*")</f>
        <v>4</v>
      </c>
      <c r="C12" s="12"/>
    </row>
    <row r="13" customFormat="false" ht="15" hidden="false" customHeight="false" outlineLevel="0" collapsed="false">
      <c r="A13" s="11"/>
      <c r="B13" s="11"/>
      <c r="C13" s="12"/>
    </row>
    <row r="14" customFormat="false" ht="15" hidden="false" customHeight="false" outlineLevel="0" collapsed="false">
      <c r="A14" s="15" t="s">
        <v>347</v>
      </c>
      <c r="B14" s="11"/>
      <c r="C14" s="12"/>
    </row>
    <row r="15" customFormat="false" ht="15" hidden="false" customHeight="false" outlineLevel="0" collapsed="false">
      <c r="A15" s="9" t="s">
        <v>3</v>
      </c>
      <c r="B15" s="9" t="s">
        <v>341</v>
      </c>
      <c r="C15" s="10" t="s">
        <v>342</v>
      </c>
    </row>
    <row r="16" customFormat="false" ht="15" hidden="false" customHeight="false" outlineLevel="0" collapsed="false">
      <c r="A16" s="11" t="s">
        <v>53</v>
      </c>
      <c r="B16" s="11" t="n">
        <f aca="false">COUNTIFS('Frame agreements'!$D$2:$D$41,A16,'Frame agreements'!$N$2:$N$41,"&lt;&gt;Replaced*")</f>
        <v>3</v>
      </c>
      <c r="C16" s="12" t="n">
        <f aca="false">SUMIFS('Frame agreements'!$F$2:$F$41,'Frame agreements'!$D$2:$D$41,A16,'Frame agreements'!$N$2:$N$41,"&lt;&gt;Replaced*")</f>
        <v>13600</v>
      </c>
    </row>
    <row r="17" customFormat="false" ht="15" hidden="false" customHeight="false" outlineLevel="0" collapsed="false">
      <c r="A17" s="11" t="s">
        <v>195</v>
      </c>
      <c r="B17" s="11" t="n">
        <f aca="false">COUNTIFS('Frame agreements'!$D$2:$D$41,A17,'Frame agreements'!$N$2:$N$41,"&lt;&gt;Replaced*")</f>
        <v>4</v>
      </c>
      <c r="C17" s="12" t="n">
        <f aca="false">SUMIFS('Frame agreements'!$F$2:$F$41,'Frame agreements'!$D$2:$D$41,A17,'Frame agreements'!$N$2:$N$41,"&lt;&gt;Replaced*")</f>
        <v>1120</v>
      </c>
    </row>
    <row r="18" customFormat="false" ht="15" hidden="false" customHeight="false" outlineLevel="0" collapsed="false">
      <c r="A18" s="11" t="s">
        <v>33</v>
      </c>
      <c r="B18" s="11" t="n">
        <f aca="false">COUNTIFS('Frame agreements'!$D$2:$D$41,A18,'Frame agreements'!$N$2:$N$41,"&lt;&gt;Replaced*")</f>
        <v>1</v>
      </c>
      <c r="C18" s="12" t="n">
        <f aca="false">SUMIFS('Frame agreements'!$F$2:$F$41,'Frame agreements'!$D$2:$D$41,A18,'Frame agreements'!$N$2:$N$41,"&lt;&gt;Replaced*")</f>
        <v>1200</v>
      </c>
    </row>
    <row r="19" customFormat="false" ht="15" hidden="false" customHeight="false" outlineLevel="0" collapsed="false">
      <c r="A19" s="11" t="s">
        <v>19</v>
      </c>
      <c r="B19" s="11" t="n">
        <f aca="false">COUNTIFS('Frame agreements'!$D$2:$D$41,A19,'Frame agreements'!$N$2:$N$41,"&lt;&gt;Replaced*")</f>
        <v>12</v>
      </c>
      <c r="C19" s="12" t="n">
        <f aca="false">SUMIFS('Frame agreements'!$F$2:$F$41,'Frame agreements'!$D$2:$D$41,A19,'Frame agreements'!$N$2:$N$41,"&lt;&gt;Replaced*")</f>
        <v>17993</v>
      </c>
    </row>
    <row r="20" customFormat="false" ht="15" hidden="false" customHeight="false" outlineLevel="0" collapsed="false">
      <c r="A20" s="11" t="s">
        <v>123</v>
      </c>
      <c r="B20" s="11" t="n">
        <f aca="false">COUNTIFS('Frame agreements'!$D$2:$D$41,A20,'Frame agreements'!$N$2:$N$41,"&lt;&gt;Replaced*")</f>
        <v>2</v>
      </c>
      <c r="C20" s="12" t="n">
        <f aca="false">SUMIFS('Frame agreements'!$F$2:$F$41,'Frame agreements'!$D$2:$D$41,A20,'Frame agreements'!$N$2:$N$41,"&lt;&gt;Replaced*")</f>
        <v>6800</v>
      </c>
    </row>
    <row r="21" customFormat="false" ht="15" hidden="false" customHeight="false" outlineLevel="0" collapsed="false">
      <c r="A21" s="11" t="s">
        <v>323</v>
      </c>
      <c r="B21" s="11" t="n">
        <f aca="false">COUNTIFS('Frame agreements'!$D$2:$D$41,A21,'Frame agreements'!$N$2:$N$41,"&lt;&gt;Replaced*")</f>
        <v>2</v>
      </c>
      <c r="C21" s="12" t="n">
        <f aca="false">SUMIFS('Frame agreements'!$F$2:$F$41,'Frame agreements'!$D$2:$D$41,A21,'Frame agreements'!$N$2:$N$41,"&lt;&gt;Replaced*")</f>
        <v>1180</v>
      </c>
    </row>
    <row r="22" customFormat="false" ht="15" hidden="false" customHeight="false" outlineLevel="0" collapsed="false">
      <c r="A22" s="11" t="s">
        <v>253</v>
      </c>
      <c r="B22" s="11" t="n">
        <f aca="false">COUNTIFS('Frame agreements'!$D$2:$D$41,A22,'Frame agreements'!$N$2:$N$41,"&lt;&gt;Replaced*")</f>
        <v>1</v>
      </c>
      <c r="C22" s="12" t="n">
        <f aca="false">SUMIFS('Frame agreements'!$F$2:$F$41,'Frame agreements'!$D$2:$D$41,A22,'Frame agreements'!$N$2:$N$41,"&lt;&gt;Replaced*")</f>
        <v>500</v>
      </c>
    </row>
    <row r="23" customFormat="false" ht="15" hidden="false" customHeight="false" outlineLevel="0" collapsed="false">
      <c r="A23" s="11" t="s">
        <v>66</v>
      </c>
      <c r="B23" s="11" t="n">
        <f aca="false">COUNTIFS('Frame agreements'!$D$2:$D$41,A23,'Frame agreements'!$N$2:$N$41,"&lt;&gt;Replaced*")</f>
        <v>2</v>
      </c>
      <c r="C23" s="12" t="n">
        <f aca="false">SUMIFS('Frame agreements'!$F$2:$F$41,'Frame agreements'!$D$2:$D$41,A23,'Frame agreements'!$N$2:$N$41,"&lt;&gt;Replaced*")</f>
        <v>2890</v>
      </c>
    </row>
    <row r="24" customFormat="false" ht="15" hidden="false" customHeight="false" outlineLevel="0" collapsed="false">
      <c r="A24" s="11" t="s">
        <v>169</v>
      </c>
      <c r="B24" s="11" t="n">
        <f aca="false">COUNTIFS('Frame agreements'!$D$2:$D$41,A24,'Frame agreements'!$N$2:$N$41,"&lt;&gt;Replaced*")</f>
        <v>4</v>
      </c>
      <c r="C24" s="12" t="n">
        <f aca="false">SUMIFS('Frame agreements'!$F$2:$F$41,'Frame agreements'!$D$2:$D$41,A24,'Frame agreements'!$N$2:$N$41,"&lt;&gt;Replaced*")</f>
        <v>2813</v>
      </c>
    </row>
    <row r="25" customFormat="false" ht="15" hidden="false" customHeight="false" outlineLevel="0" collapsed="false">
      <c r="A25" s="11" t="s">
        <v>97</v>
      </c>
      <c r="B25" s="11" t="n">
        <f aca="false">COUNTIFS('Frame agreements'!$D$2:$D$41,A25,'Frame agreements'!$N$2:$N$41,"&lt;&gt;Replaced*")</f>
        <v>6</v>
      </c>
      <c r="C25" s="12" t="n">
        <f aca="false">SUMIFS('Frame agreements'!$F$2:$F$41,'Frame agreements'!$D$2:$D$41,A25,'Frame agreements'!$N$2:$N$41,"&lt;&gt;Replaced*")</f>
        <v>3340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9" t="s">
        <v>1</v>
      </c>
      <c r="B1" s="9" t="s">
        <v>348</v>
      </c>
      <c r="C1" s="9" t="s">
        <v>349</v>
      </c>
      <c r="D1" s="9" t="s">
        <v>350</v>
      </c>
      <c r="E1" s="9" t="s">
        <v>351</v>
      </c>
    </row>
    <row r="2" customFormat="false" ht="23.85" hidden="false" customHeight="false" outlineLevel="0" collapsed="false">
      <c r="A2" s="16" t="s">
        <v>352</v>
      </c>
      <c r="B2" s="16" t="s">
        <v>353</v>
      </c>
      <c r="C2" s="16" t="s">
        <v>354</v>
      </c>
      <c r="D2" s="16" t="s">
        <v>355</v>
      </c>
      <c r="E2" s="16" t="s">
        <v>356</v>
      </c>
    </row>
    <row r="3" customFormat="false" ht="15" hidden="false" customHeight="false" outlineLevel="0" collapsed="false">
      <c r="A3" s="16" t="s">
        <v>352</v>
      </c>
      <c r="B3" s="16" t="s">
        <v>357</v>
      </c>
      <c r="C3" s="16" t="s">
        <v>358</v>
      </c>
      <c r="D3" s="16" t="s">
        <v>359</v>
      </c>
      <c r="E3" s="16" t="s">
        <v>360</v>
      </c>
    </row>
    <row r="4" customFormat="false" ht="15" hidden="false" customHeight="false" outlineLevel="0" collapsed="false">
      <c r="A4" s="16" t="s">
        <v>352</v>
      </c>
      <c r="B4" s="16" t="s">
        <v>361</v>
      </c>
      <c r="C4" s="16" t="s">
        <v>142</v>
      </c>
      <c r="D4" s="16" t="s">
        <v>362</v>
      </c>
      <c r="E4" s="16" t="s">
        <v>363</v>
      </c>
    </row>
    <row r="5" customFormat="false" ht="15" hidden="false" customHeight="false" outlineLevel="0" collapsed="false">
      <c r="A5" s="16" t="s">
        <v>308</v>
      </c>
      <c r="B5" s="16" t="s">
        <v>364</v>
      </c>
      <c r="C5" s="16" t="s">
        <v>365</v>
      </c>
      <c r="D5" s="16" t="s">
        <v>366</v>
      </c>
      <c r="E5" s="16" t="s">
        <v>367</v>
      </c>
    </row>
    <row r="6" customFormat="false" ht="23.85" hidden="false" customHeight="false" outlineLevel="0" collapsed="false">
      <c r="A6" s="16" t="s">
        <v>368</v>
      </c>
      <c r="B6" s="16" t="s">
        <v>369</v>
      </c>
      <c r="C6" s="16" t="s">
        <v>370</v>
      </c>
      <c r="D6" s="16" t="s">
        <v>371</v>
      </c>
      <c r="E6" s="16" t="s">
        <v>372</v>
      </c>
    </row>
    <row r="7" customFormat="false" ht="15" hidden="false" customHeight="false" outlineLevel="0" collapsed="false">
      <c r="A7" s="16" t="s">
        <v>373</v>
      </c>
      <c r="B7" s="16" t="s">
        <v>374</v>
      </c>
      <c r="C7" s="16" t="s">
        <v>375</v>
      </c>
      <c r="D7" s="16" t="s">
        <v>376</v>
      </c>
      <c r="E7" s="16" t="s">
        <v>377</v>
      </c>
    </row>
    <row r="8" customFormat="false" ht="23.85" hidden="false" customHeight="false" outlineLevel="0" collapsed="false">
      <c r="A8" s="16" t="s">
        <v>378</v>
      </c>
      <c r="B8" s="16" t="s">
        <v>379</v>
      </c>
      <c r="C8" s="16" t="s">
        <v>380</v>
      </c>
      <c r="D8" s="16" t="s">
        <v>381</v>
      </c>
      <c r="E8" s="16" t="s">
        <v>382</v>
      </c>
    </row>
    <row r="9" customFormat="false" ht="15" hidden="false" customHeight="false" outlineLevel="0" collapsed="false">
      <c r="A9" s="16" t="s">
        <v>383</v>
      </c>
      <c r="B9" s="16" t="s">
        <v>384</v>
      </c>
      <c r="C9" s="16" t="s">
        <v>385</v>
      </c>
      <c r="D9" s="16" t="s">
        <v>386</v>
      </c>
      <c r="E9" s="16" t="s">
        <v>387</v>
      </c>
    </row>
    <row r="10" customFormat="false" ht="15" hidden="false" customHeight="false" outlineLevel="0" collapsed="false">
      <c r="A10" s="16" t="s">
        <v>388</v>
      </c>
      <c r="B10" s="16" t="s">
        <v>389</v>
      </c>
      <c r="C10" s="16" t="s">
        <v>390</v>
      </c>
      <c r="D10" s="16" t="s">
        <v>391</v>
      </c>
      <c r="E10" s="16" t="s">
        <v>392</v>
      </c>
    </row>
    <row r="11" customFormat="false" ht="15" hidden="false" customHeight="false" outlineLevel="0" collapsed="false">
      <c r="A11" s="16" t="s">
        <v>393</v>
      </c>
      <c r="B11" s="16" t="s">
        <v>394</v>
      </c>
      <c r="C11" s="16" t="s">
        <v>395</v>
      </c>
      <c r="D11" s="16" t="s">
        <v>396</v>
      </c>
      <c r="E11" s="16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7" t="s">
        <v>398</v>
      </c>
    </row>
    <row r="2" customFormat="false" ht="23.85" hidden="false" customHeight="false" outlineLevel="0" collapsed="false">
      <c r="A2" s="16" t="s">
        <v>399</v>
      </c>
    </row>
    <row r="3" customFormat="false" ht="35.05" hidden="false" customHeight="false" outlineLevel="0" collapsed="false">
      <c r="A3" s="16" t="s">
        <v>400</v>
      </c>
    </row>
    <row r="4" customFormat="false" ht="23.85" hidden="false" customHeight="false" outlineLevel="0" collapsed="false">
      <c r="A4" s="16" t="s">
        <v>401</v>
      </c>
    </row>
    <row r="5" customFormat="false" ht="35.05" hidden="false" customHeight="false" outlineLevel="0" collapsed="false">
      <c r="A5" s="16" t="s">
        <v>402</v>
      </c>
    </row>
    <row r="6" customFormat="false" ht="23.85" hidden="false" customHeight="false" outlineLevel="0" collapsed="false">
      <c r="A6" s="16" t="s">
        <v>403</v>
      </c>
    </row>
    <row r="7" customFormat="false" ht="15" hidden="false" customHeight="false" outlineLevel="0" collapsed="false">
      <c r="A7" s="16" t="s">
        <v>404</v>
      </c>
    </row>
    <row r="8" customFormat="false" ht="23.85" hidden="false" customHeight="false" outlineLevel="0" collapsed="false">
      <c r="A8" s="16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2026-10-20T13:12:06Z</dcterms:created>
  <dc:creator>openpyxl</dc:creator>
  <dc:description/>
  <dc:language>en-US</dc:language>
  <cp:lastModifiedBy/>
  <dcterms:modified xsi:type="dcterms:W3CDTF">2026-10-20T13:12:06Z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