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ewal timeline" sheetId="1" state="visible" r:id="rId3"/>
    <sheet name="By year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<sst xmlns="http://schemas.openxmlformats.org/spreadsheetml/2006/main" count="251" uniqueCount="157">
  <si>
    <t xml:space="preserve">When it comes available</t>
  </si>
  <si>
    <t xml:space="preserve">Year (est.)</t>
  </si>
  <si>
    <t xml:space="preserve">Buyer</t>
  </si>
  <si>
    <t xml:space="preserve">Frame</t>
  </si>
  <si>
    <t xml:space="preserve">Value (MNOK)</t>
  </si>
  <si>
    <t xml:space="preserve">Current frame ends (latest)</t>
  </si>
  <si>
    <t xml:space="preserve">Note</t>
  </si>
  <si>
    <t xml:space="preserve">Found in</t>
  </si>
  <si>
    <t xml:space="preserve">Open now (2026)</t>
  </si>
  <si>
    <t xml:space="preserve">Miljødirektoratet</t>
  </si>
  <si>
    <t xml:space="preserve">Digitalisation &amp; technology</t>
  </si>
  <si>
    <t xml:space="preserve">New frame</t>
  </si>
  <si>
    <t xml:space="preserve">Bids closed 31 Aug 2026; award expected Q4 2026–Q1 2027</t>
  </si>
  <si>
    <t xml:space="preserve">Mine</t>
  </si>
  <si>
    <t xml:space="preserve">Oslo kommune</t>
  </si>
  <si>
    <t xml:space="preserve">IT consulting, 5 lots</t>
  </si>
  <si>
    <t xml:space="preserve">2022 frame ends ~Nov 2026</t>
  </si>
  <si>
    <t xml:space="preserve">Tender published Jun 2026; value from headline only</t>
  </si>
  <si>
    <t xml:space="preserve">Cowork</t>
  </si>
  <si>
    <t xml:space="preserve">Sikt</t>
  </si>
  <si>
    <t xml:space="preserve">Software licence reseller</t>
  </si>
  <si>
    <t xml:space="preserve">Bids closed Jun 2026; being awarded</t>
  </si>
  <si>
    <t xml:space="preserve">Sykehuspartner (Helse Sør-Øst)</t>
  </si>
  <si>
    <t xml:space="preserve">Telecom &amp; project services</t>
  </si>
  <si>
    <t xml:space="preserve">Mostly equipment</t>
  </si>
  <si>
    <t xml:space="preserve">2026 (due)</t>
  </si>
  <si>
    <t xml:space="preserve">FFI / defence sector</t>
  </si>
  <si>
    <t xml:space="preserve">IT products, licences, consulting (Atea)</t>
  </si>
  <si>
    <t xml:space="preserve">2026</t>
  </si>
  <si>
    <t xml:space="preserve">2+2 yrs from 2022; re-tender should be imminent</t>
  </si>
  <si>
    <t xml:space="preserve">2026 (check)</t>
  </si>
  <si>
    <t xml:space="preserve">Bane NOR</t>
  </si>
  <si>
    <t xml:space="preserve">IT consultants</t>
  </si>
  <si>
    <t xml:space="preserve">~Nov 2025</t>
  </si>
  <si>
    <t xml:space="preserve">Probably expired; check Doffin for successor</t>
  </si>
  <si>
    <t xml:space="preserve">Both</t>
  </si>
  <si>
    <t xml:space="preserve">Statens pensjonskasse (SPK)</t>
  </si>
  <si>
    <t xml:space="preserve">IT development consultants</t>
  </si>
  <si>
    <t xml:space="preserve">Probably expired; check Doffin</t>
  </si>
  <si>
    <t xml:space="preserve">Norsk helsenett</t>
  </si>
  <si>
    <t xml:space="preserve">Public cloud + advisory</t>
  </si>
  <si>
    <t xml:space="preserve">~2023–25</t>
  </si>
  <si>
    <t xml:space="preserve">Frame from 2019; status unknown</t>
  </si>
  <si>
    <t xml:space="preserve">H2 2026–H1 2027</t>
  </si>
  <si>
    <t xml:space="preserve">Politiet</t>
  </si>
  <si>
    <t xml:space="preserve">Microsoft licences (Atea)</t>
  </si>
  <si>
    <t xml:space="preserve">Jun 2027</t>
  </si>
  <si>
    <t xml:space="preserve">NAV</t>
  </si>
  <si>
    <t xml:space="preserve">Management consulting (strategy, organisation, recruitment, QA)</t>
  </si>
  <si>
    <t xml:space="preserve">Oct 2027</t>
  </si>
  <si>
    <t xml:space="preserve">In option years</t>
  </si>
  <si>
    <t xml:space="preserve">Domstoladministrasjonen</t>
  </si>
  <si>
    <t xml:space="preserve">IT &amp; digital advisory (Bouvet)</t>
  </si>
  <si>
    <t xml:space="preserve">May 2027</t>
  </si>
  <si>
    <t xml:space="preserve">H2 2026–2027</t>
  </si>
  <si>
    <t xml:space="preserve">Development partner (Knowit, Sopra Steria, Computas)</t>
  </si>
  <si>
    <t xml:space="preserve">Oct 2027 + option</t>
  </si>
  <si>
    <t xml:space="preserve">Largest near-term renewal</t>
  </si>
  <si>
    <t xml:space="preserve">Statens vegvesen</t>
  </si>
  <si>
    <t xml:space="preserve">Software licences</t>
  </si>
  <si>
    <t xml:space="preserve">~Aug 2027</t>
  </si>
  <si>
    <t xml:space="preserve">Term assumed</t>
  </si>
  <si>
    <t xml:space="preserve">2026–27</t>
  </si>
  <si>
    <t xml:space="preserve">Sykehusinnkjøp</t>
  </si>
  <si>
    <t xml:space="preserve">National IT consulting, 10 lots</t>
  </si>
  <si>
    <t xml:space="preserve">Aug 2027</t>
  </si>
  <si>
    <t xml:space="preserve">Already extended once; value not published</t>
  </si>
  <si>
    <t xml:space="preserve">2027</t>
  </si>
  <si>
    <t xml:space="preserve">Software purchasing (Crayon +1)</t>
  </si>
  <si>
    <t xml:space="preserve">Feb 2028</t>
  </si>
  <si>
    <t xml:space="preserve">Bergen kommune</t>
  </si>
  <si>
    <t xml:space="preserve">Digitalisation &amp; change consulting</t>
  </si>
  <si>
    <t xml:space="preserve">Sep 2027</t>
  </si>
  <si>
    <t xml:space="preserve">IT development &amp; maintenance (Accenture)</t>
  </si>
  <si>
    <t xml:space="preserve">2027 base / 2031 with options</t>
  </si>
  <si>
    <t xml:space="preserve">Decision on 4-yr option in 2027</t>
  </si>
  <si>
    <t xml:space="preserve">Tet Digital (Ruter/Skyss/AKT)</t>
  </si>
  <si>
    <t xml:space="preserve">Consulting (Knowit, Bekk)</t>
  </si>
  <si>
    <t xml:space="preserve">Options run year by year</t>
  </si>
  <si>
    <t xml:space="preserve">IT advisory &amp; strategy (8 firms)</t>
  </si>
  <si>
    <t xml:space="preserve">~2028</t>
  </si>
  <si>
    <t xml:space="preserve">Possibly same frame as 800 MNOK general IT; check Doffin</t>
  </si>
  <si>
    <t xml:space="preserve">2027–28</t>
  </si>
  <si>
    <t xml:space="preserve">DIO (ministries)</t>
  </si>
  <si>
    <t xml:space="preserve">IT consultant brokerage (emagine)</t>
  </si>
  <si>
    <t xml:space="preserve">Jan 2029</t>
  </si>
  <si>
    <t xml:space="preserve">Can come early if ceiling runs out, as 2022 frame's did</t>
  </si>
  <si>
    <t xml:space="preserve">H2 2027–2028</t>
  </si>
  <si>
    <t xml:space="preserve">IT consulting, 8 lots</t>
  </si>
  <si>
    <t xml:space="preserve">Oct 2028</t>
  </si>
  <si>
    <t xml:space="preserve">Value: est. 3,500, ceiling 4,600</t>
  </si>
  <si>
    <t xml:space="preserve">2028</t>
  </si>
  <si>
    <t xml:space="preserve">DFØ</t>
  </si>
  <si>
    <t xml:space="preserve">State cloud (AWS, Google, IBM, Oracle)</t>
  </si>
  <si>
    <t xml:space="preserve">Sep 2028 (2029 with option)</t>
  </si>
  <si>
    <t xml:space="preserve">Forsvaret (FLO)</t>
  </si>
  <si>
    <t xml:space="preserve">Consulting, 6 areas incl. strategy, finance/governance</t>
  </si>
  <si>
    <t xml:space="preserve">~2029</t>
  </si>
  <si>
    <t xml:space="preserve">Award not confirmed</t>
  </si>
  <si>
    <t xml:space="preserve">Forsvarsmateriell</t>
  </si>
  <si>
    <t xml:space="preserve">Strategic IT advisory</t>
  </si>
  <si>
    <t xml:space="preserve">General IT assistance (8 firms)</t>
  </si>
  <si>
    <t xml:space="preserve">Mar 2029</t>
  </si>
  <si>
    <t xml:space="preserve">IT infrastructure &amp; operations</t>
  </si>
  <si>
    <t xml:space="preserve">NVE</t>
  </si>
  <si>
    <t xml:space="preserve">IT development &amp; maintenance</t>
  </si>
  <si>
    <t xml:space="preserve">2028–29</t>
  </si>
  <si>
    <t xml:space="preserve">Skatteetaten</t>
  </si>
  <si>
    <t xml:space="preserve">IT consulting, 11 lots</t>
  </si>
  <si>
    <t xml:space="preserve">Autumn 2029</t>
  </si>
  <si>
    <t xml:space="preserve">Utdanningsdirektoratet</t>
  </si>
  <si>
    <t xml:space="preserve">IT consulting</t>
  </si>
  <si>
    <t xml:space="preserve">2029</t>
  </si>
  <si>
    <t xml:space="preserve">Bufdir</t>
  </si>
  <si>
    <t xml:space="preserve">IT consultants + consultant brokerage</t>
  </si>
  <si>
    <t xml:space="preserve">UDI</t>
  </si>
  <si>
    <t xml:space="preserve">Strategic &amp; tactical IT advisory</t>
  </si>
  <si>
    <t xml:space="preserve">Vy</t>
  </si>
  <si>
    <t xml:space="preserve">Licences &amp; cloud</t>
  </si>
  <si>
    <t xml:space="preserve">Licences &amp; licence consulting</t>
  </si>
  <si>
    <t xml:space="preserve">2029–30</t>
  </si>
  <si>
    <t xml:space="preserve">IT consulting (Twoday, Netcompany)</t>
  </si>
  <si>
    <t xml:space="preserve">2030</t>
  </si>
  <si>
    <t xml:space="preserve">Awarded Sep 2026</t>
  </si>
  <si>
    <t xml:space="preserve">Internet &amp; data lines (Telia, Telenor, Lyse)</t>
  </si>
  <si>
    <t xml:space="preserve">Nov 2030</t>
  </si>
  <si>
    <t xml:space="preserve">Telecom</t>
  </si>
  <si>
    <t xml:space="preserve">2032–33</t>
  </si>
  <si>
    <t xml:space="preserve">Statnett</t>
  </si>
  <si>
    <t xml:space="preserve">IT development &amp; management (4 suppliers)</t>
  </si>
  <si>
    <t xml:space="preserve">2033 (4+4 yrs)</t>
  </si>
  <si>
    <t xml:space="preserve">Not yet verified</t>
  </si>
  <si>
    <t xml:space="preserve">Helsedirektoratet</t>
  </si>
  <si>
    <t xml:space="preserve">Application operations (Intility)</t>
  </si>
  <si>
    <t xml:space="preserve">~2033</t>
  </si>
  <si>
    <t xml:space="preserve">7-year term</t>
  </si>
  <si>
    <t xml:space="preserve">Unknown</t>
  </si>
  <si>
    <t xml:space="preserve">Azure cloud (Crayon)</t>
  </si>
  <si>
    <t xml:space="preserve">Term not published</t>
  </si>
  <si>
    <t xml:space="preserve">Systems development (Netcompany)</t>
  </si>
  <si>
    <t xml:space="preserve">May be part of 2026 Oslo tender</t>
  </si>
  <si>
    <t xml:space="preserve">Big Four advisory frames</t>
  </si>
  <si>
    <t xml:space="preserve">Awarded Feb 2026; value approx.</t>
  </si>
  <si>
    <t xml:space="preserve">Development (Computas, Bekk, Webstep)</t>
  </si>
  <si>
    <t xml:space="preserve">~4 years</t>
  </si>
  <si>
    <t xml:space="preserve">Start date not confirmed</t>
  </si>
  <si>
    <t xml:space="preserve">New</t>
  </si>
  <si>
    <t xml:space="preserve"># frames</t>
  </si>
  <si>
    <t xml:space="preserve">Sum of headline value (MNOK)</t>
  </si>
  <si>
    <t xml:space="preserve">Total</t>
  </si>
  <si>
    <t xml:space="preserve">How to read this</t>
  </si>
  <si>
    <t xml:space="preserve">'When it comes available' = when the re-tender is likely to be published: latest end date with all options, minus about 9-12 months. Highlighted rows are open now or due in 2026.</t>
  </si>
  <si>
    <t xml:space="preserve">Re-tenders come earlier if a buyer drops its options or a frame's value ceiling runs out (the ministries' 2022 brokerage frame was overspent by 31%).</t>
  </si>
  <si>
    <t xml:space="preserve">Value = headline max/estimate from the notice or press, not expected spend. Sums on 'By year' therefore overstate likely spend.</t>
  </si>
  <si>
    <t xml:space="preserve">'Found in' = which file the row came from: Mine (Claude Code scan), Cowork, Both, or New (found during the comparison).</t>
  </si>
  <si>
    <t xml:space="preserve">Unverified items: Statnett 9 bn, Oslo ~1 bn tender value, Statens vegvesen 500 vs 800 MNOK split, defence-sector awards. Check on doffin.no.</t>
  </si>
  <si>
    <t xml:space="preserve">Full details and sources per row: norway_frame_agreements_IT_consulting_2020-2026.xlsx and the Cowork file.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</si>
</sst>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imeline" displayName="Timeline" ref="A1:H42" headerRowCount="1" totalsRowCount="0" totalsRowShown="0">
  <autoFilter ref="A1:H42"/>
  <tableColumns count="8">
    <tableColumn id="1" name="When it comes available"/>
    <tableColumn id="2" name="Year (est.)"/>
    <tableColumn id="3" name="Buyer"/>
    <tableColumn id="4" name="Frame"/>
    <tableColumn id="5" name="Value (MNOK)"/>
    <tableColumn id="6" name="Current frame ends (latest)"/>
    <tableColumn id="7" name="Note"/>
    <tableColumn id="8" name="Found i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44"/>
    <col collapsed="false" customWidth="true" hidden="false" outlineLevel="0" max="8" min="8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n">
        <v>2026</v>
      </c>
      <c r="C2" s="2" t="s">
        <v>9</v>
      </c>
      <c r="D2" s="2" t="s">
        <v>10</v>
      </c>
      <c r="E2" s="3" t="n">
        <v>1323</v>
      </c>
      <c r="F2" s="2" t="s">
        <v>11</v>
      </c>
      <c r="G2" s="2" t="s">
        <v>12</v>
      </c>
      <c r="H2" s="2" t="s">
        <v>13</v>
      </c>
    </row>
    <row r="3" customFormat="false" ht="15" hidden="false" customHeight="false" outlineLevel="0" collapsed="false">
      <c r="A3" s="2" t="s">
        <v>8</v>
      </c>
      <c r="B3" s="2" t="n">
        <v>2026</v>
      </c>
      <c r="C3" s="2" t="s">
        <v>14</v>
      </c>
      <c r="D3" s="2" t="s">
        <v>15</v>
      </c>
      <c r="E3" s="3" t="n">
        <v>1000</v>
      </c>
      <c r="F3" s="2" t="s">
        <v>16</v>
      </c>
      <c r="G3" s="2" t="s">
        <v>17</v>
      </c>
      <c r="H3" s="2" t="s">
        <v>18</v>
      </c>
    </row>
    <row r="4" customFormat="false" ht="15" hidden="false" customHeight="false" outlineLevel="0" collapsed="false">
      <c r="A4" s="2" t="s">
        <v>8</v>
      </c>
      <c r="B4" s="2" t="n">
        <v>2026</v>
      </c>
      <c r="C4" s="2" t="s">
        <v>19</v>
      </c>
      <c r="D4" s="2" t="s">
        <v>20</v>
      </c>
      <c r="E4" s="3" t="n">
        <v>800</v>
      </c>
      <c r="F4" s="2" t="s">
        <v>11</v>
      </c>
      <c r="G4" s="2" t="s">
        <v>21</v>
      </c>
      <c r="H4" s="2" t="s">
        <v>13</v>
      </c>
    </row>
    <row r="5" customFormat="false" ht="15" hidden="false" customHeight="false" outlineLevel="0" collapsed="false">
      <c r="A5" s="2" t="s">
        <v>8</v>
      </c>
      <c r="B5" s="2" t="n">
        <v>2026</v>
      </c>
      <c r="C5" s="2" t="s">
        <v>22</v>
      </c>
      <c r="D5" s="2" t="s">
        <v>23</v>
      </c>
      <c r="E5" s="3" t="n">
        <v>950</v>
      </c>
      <c r="F5" s="2" t="s">
        <v>11</v>
      </c>
      <c r="G5" s="2" t="s">
        <v>24</v>
      </c>
      <c r="H5" s="2" t="s">
        <v>13</v>
      </c>
    </row>
    <row r="6" customFormat="false" ht="15" hidden="false" customHeight="false" outlineLevel="0" collapsed="false">
      <c r="A6" s="2" t="s">
        <v>25</v>
      </c>
      <c r="B6" s="2" t="n">
        <v>2026</v>
      </c>
      <c r="C6" s="2" t="s">
        <v>26</v>
      </c>
      <c r="D6" s="2" t="s">
        <v>27</v>
      </c>
      <c r="E6" s="3" t="n">
        <v>1940</v>
      </c>
      <c r="F6" s="2" t="s">
        <v>28</v>
      </c>
      <c r="G6" s="2" t="s">
        <v>29</v>
      </c>
      <c r="H6" s="2" t="s">
        <v>13</v>
      </c>
    </row>
    <row r="7" customFormat="false" ht="15" hidden="false" customHeight="false" outlineLevel="0" collapsed="false">
      <c r="A7" s="2" t="s">
        <v>30</v>
      </c>
      <c r="B7" s="2" t="n">
        <v>2026</v>
      </c>
      <c r="C7" s="2" t="s">
        <v>31</v>
      </c>
      <c r="D7" s="2" t="s">
        <v>32</v>
      </c>
      <c r="E7" s="3" t="n">
        <v>480</v>
      </c>
      <c r="F7" s="2" t="s">
        <v>33</v>
      </c>
      <c r="G7" s="2" t="s">
        <v>34</v>
      </c>
      <c r="H7" s="2" t="s">
        <v>35</v>
      </c>
    </row>
    <row r="8" customFormat="false" ht="15" hidden="false" customHeight="false" outlineLevel="0" collapsed="false">
      <c r="A8" s="2" t="s">
        <v>30</v>
      </c>
      <c r="B8" s="2" t="n">
        <v>2026</v>
      </c>
      <c r="C8" s="2" t="s">
        <v>36</v>
      </c>
      <c r="D8" s="2" t="s">
        <v>37</v>
      </c>
      <c r="E8" s="3" t="n">
        <v>450</v>
      </c>
      <c r="F8" s="2" t="s">
        <v>33</v>
      </c>
      <c r="G8" s="2" t="s">
        <v>38</v>
      </c>
      <c r="H8" s="2" t="s">
        <v>13</v>
      </c>
    </row>
    <row r="9" customFormat="false" ht="15" hidden="false" customHeight="false" outlineLevel="0" collapsed="false">
      <c r="A9" s="2" t="s">
        <v>30</v>
      </c>
      <c r="B9" s="2" t="n">
        <v>2026</v>
      </c>
      <c r="C9" s="2" t="s">
        <v>39</v>
      </c>
      <c r="D9" s="2" t="s">
        <v>40</v>
      </c>
      <c r="E9" s="3" t="n">
        <v>2400</v>
      </c>
      <c r="F9" s="2" t="s">
        <v>41</v>
      </c>
      <c r="G9" s="2" t="s">
        <v>42</v>
      </c>
      <c r="H9" s="2" t="s">
        <v>13</v>
      </c>
    </row>
    <row r="10" customFormat="false" ht="15" hidden="false" customHeight="false" outlineLevel="0" collapsed="false">
      <c r="A10" s="4" t="s">
        <v>43</v>
      </c>
      <c r="B10" s="4" t="n">
        <v>2027</v>
      </c>
      <c r="C10" s="4" t="s">
        <v>44</v>
      </c>
      <c r="D10" s="4" t="s">
        <v>45</v>
      </c>
      <c r="E10" s="5" t="n">
        <v>700</v>
      </c>
      <c r="F10" s="4" t="s">
        <v>46</v>
      </c>
      <c r="G10" s="4"/>
      <c r="H10" s="4" t="s">
        <v>35</v>
      </c>
    </row>
    <row r="11" customFormat="false" ht="23.85" hidden="false" customHeight="false" outlineLevel="0" collapsed="false">
      <c r="A11" s="4" t="s">
        <v>43</v>
      </c>
      <c r="B11" s="4" t="n">
        <v>2027</v>
      </c>
      <c r="C11" s="4" t="s">
        <v>47</v>
      </c>
      <c r="D11" s="4" t="s">
        <v>48</v>
      </c>
      <c r="E11" s="5" t="n">
        <v>428</v>
      </c>
      <c r="F11" s="4" t="s">
        <v>49</v>
      </c>
      <c r="G11" s="4" t="s">
        <v>50</v>
      </c>
      <c r="H11" s="4" t="s">
        <v>13</v>
      </c>
    </row>
    <row r="12" customFormat="false" ht="15" hidden="false" customHeight="false" outlineLevel="0" collapsed="false">
      <c r="A12" s="4" t="s">
        <v>43</v>
      </c>
      <c r="B12" s="4" t="n">
        <v>2027</v>
      </c>
      <c r="C12" s="4" t="s">
        <v>51</v>
      </c>
      <c r="D12" s="4" t="s">
        <v>52</v>
      </c>
      <c r="E12" s="5" t="n">
        <v>120</v>
      </c>
      <c r="F12" s="4" t="s">
        <v>53</v>
      </c>
      <c r="G12" s="4"/>
      <c r="H12" s="4" t="s">
        <v>13</v>
      </c>
    </row>
    <row r="13" customFormat="false" ht="23.85" hidden="false" customHeight="false" outlineLevel="0" collapsed="false">
      <c r="A13" s="4" t="s">
        <v>54</v>
      </c>
      <c r="B13" s="4" t="n">
        <v>2027</v>
      </c>
      <c r="C13" s="4" t="s">
        <v>44</v>
      </c>
      <c r="D13" s="4" t="s">
        <v>55</v>
      </c>
      <c r="E13" s="5" t="n">
        <v>4000</v>
      </c>
      <c r="F13" s="4" t="s">
        <v>56</v>
      </c>
      <c r="G13" s="4" t="s">
        <v>57</v>
      </c>
      <c r="H13" s="4" t="s">
        <v>35</v>
      </c>
    </row>
    <row r="14" customFormat="false" ht="15" hidden="false" customHeight="false" outlineLevel="0" collapsed="false">
      <c r="A14" s="4" t="s">
        <v>54</v>
      </c>
      <c r="B14" s="4" t="n">
        <v>2027</v>
      </c>
      <c r="C14" s="4" t="s">
        <v>58</v>
      </c>
      <c r="D14" s="4" t="s">
        <v>59</v>
      </c>
      <c r="E14" s="5" t="n">
        <v>120</v>
      </c>
      <c r="F14" s="4" t="s">
        <v>60</v>
      </c>
      <c r="G14" s="4" t="s">
        <v>61</v>
      </c>
      <c r="H14" s="4" t="s">
        <v>13</v>
      </c>
    </row>
    <row r="15" customFormat="false" ht="15" hidden="false" customHeight="false" outlineLevel="0" collapsed="false">
      <c r="A15" s="2" t="s">
        <v>62</v>
      </c>
      <c r="B15" s="2" t="n">
        <v>2027</v>
      </c>
      <c r="C15" s="2" t="s">
        <v>63</v>
      </c>
      <c r="D15" s="2" t="s">
        <v>64</v>
      </c>
      <c r="E15" s="3"/>
      <c r="F15" s="2" t="s">
        <v>65</v>
      </c>
      <c r="G15" s="2" t="s">
        <v>66</v>
      </c>
      <c r="H15" s="2" t="s">
        <v>18</v>
      </c>
    </row>
    <row r="16" customFormat="false" ht="15" hidden="false" customHeight="false" outlineLevel="0" collapsed="false">
      <c r="A16" s="4" t="s">
        <v>67</v>
      </c>
      <c r="B16" s="4" t="n">
        <v>2027</v>
      </c>
      <c r="C16" s="4" t="s">
        <v>44</v>
      </c>
      <c r="D16" s="4" t="s">
        <v>68</v>
      </c>
      <c r="E16" s="5" t="n">
        <v>1200</v>
      </c>
      <c r="F16" s="4" t="s">
        <v>69</v>
      </c>
      <c r="G16" s="4"/>
      <c r="H16" s="4" t="s">
        <v>13</v>
      </c>
    </row>
    <row r="17" customFormat="false" ht="15" hidden="false" customHeight="false" outlineLevel="0" collapsed="false">
      <c r="A17" s="4" t="s">
        <v>67</v>
      </c>
      <c r="B17" s="4" t="n">
        <v>2027</v>
      </c>
      <c r="C17" s="4" t="s">
        <v>70</v>
      </c>
      <c r="D17" s="4" t="s">
        <v>71</v>
      </c>
      <c r="E17" s="5" t="n">
        <v>150</v>
      </c>
      <c r="F17" s="4" t="s">
        <v>72</v>
      </c>
      <c r="G17" s="4"/>
      <c r="H17" s="4" t="s">
        <v>13</v>
      </c>
    </row>
    <row r="18" customFormat="false" ht="15" hidden="false" customHeight="false" outlineLevel="0" collapsed="false">
      <c r="A18" s="4" t="s">
        <v>67</v>
      </c>
      <c r="B18" s="4" t="n">
        <v>2027</v>
      </c>
      <c r="C18" s="4" t="s">
        <v>58</v>
      </c>
      <c r="D18" s="4" t="s">
        <v>73</v>
      </c>
      <c r="E18" s="5" t="n">
        <v>2800</v>
      </c>
      <c r="F18" s="4" t="s">
        <v>74</v>
      </c>
      <c r="G18" s="4" t="s">
        <v>75</v>
      </c>
      <c r="H18" s="4" t="s">
        <v>13</v>
      </c>
    </row>
    <row r="19" customFormat="false" ht="15" hidden="false" customHeight="false" outlineLevel="0" collapsed="false">
      <c r="A19" s="4" t="s">
        <v>67</v>
      </c>
      <c r="B19" s="4" t="n">
        <v>2027</v>
      </c>
      <c r="C19" s="4" t="s">
        <v>76</v>
      </c>
      <c r="D19" s="4" t="s">
        <v>77</v>
      </c>
      <c r="E19" s="5" t="n">
        <v>1100</v>
      </c>
      <c r="F19" s="4" t="s">
        <v>74</v>
      </c>
      <c r="G19" s="4" t="s">
        <v>78</v>
      </c>
      <c r="H19" s="4" t="s">
        <v>13</v>
      </c>
    </row>
    <row r="20" customFormat="false" ht="23.85" hidden="false" customHeight="false" outlineLevel="0" collapsed="false">
      <c r="A20" s="4" t="s">
        <v>67</v>
      </c>
      <c r="B20" s="4" t="n">
        <v>2027</v>
      </c>
      <c r="C20" s="4" t="s">
        <v>58</v>
      </c>
      <c r="D20" s="4" t="s">
        <v>79</v>
      </c>
      <c r="E20" s="5" t="n">
        <v>500</v>
      </c>
      <c r="F20" s="4" t="s">
        <v>80</v>
      </c>
      <c r="G20" s="4" t="s">
        <v>81</v>
      </c>
      <c r="H20" s="4" t="s">
        <v>35</v>
      </c>
    </row>
    <row r="21" customFormat="false" ht="15" hidden="false" customHeight="false" outlineLevel="0" collapsed="false">
      <c r="A21" s="4" t="s">
        <v>82</v>
      </c>
      <c r="B21" s="4" t="n">
        <v>2028</v>
      </c>
      <c r="C21" s="4" t="s">
        <v>83</v>
      </c>
      <c r="D21" s="4" t="s">
        <v>84</v>
      </c>
      <c r="E21" s="5" t="n">
        <v>1200</v>
      </c>
      <c r="F21" s="4" t="s">
        <v>85</v>
      </c>
      <c r="G21" s="4" t="s">
        <v>86</v>
      </c>
      <c r="H21" s="4" t="s">
        <v>35</v>
      </c>
    </row>
    <row r="22" customFormat="false" ht="15" hidden="false" customHeight="false" outlineLevel="0" collapsed="false">
      <c r="A22" s="4" t="s">
        <v>87</v>
      </c>
      <c r="B22" s="4" t="n">
        <v>2028</v>
      </c>
      <c r="C22" s="4" t="s">
        <v>47</v>
      </c>
      <c r="D22" s="4" t="s">
        <v>88</v>
      </c>
      <c r="E22" s="5" t="n">
        <v>4600</v>
      </c>
      <c r="F22" s="4" t="s">
        <v>89</v>
      </c>
      <c r="G22" s="4" t="s">
        <v>90</v>
      </c>
      <c r="H22" s="4" t="s">
        <v>35</v>
      </c>
    </row>
    <row r="23" customFormat="false" ht="15" hidden="false" customHeight="false" outlineLevel="0" collapsed="false">
      <c r="A23" s="4" t="s">
        <v>91</v>
      </c>
      <c r="B23" s="4" t="n">
        <v>2028</v>
      </c>
      <c r="C23" s="4" t="s">
        <v>92</v>
      </c>
      <c r="D23" s="4" t="s">
        <v>93</v>
      </c>
      <c r="E23" s="5" t="n">
        <v>10000</v>
      </c>
      <c r="F23" s="4" t="s">
        <v>94</v>
      </c>
      <c r="G23" s="4"/>
      <c r="H23" s="4" t="s">
        <v>35</v>
      </c>
    </row>
    <row r="24" customFormat="false" ht="15" hidden="false" customHeight="false" outlineLevel="0" collapsed="false">
      <c r="A24" s="4" t="s">
        <v>91</v>
      </c>
      <c r="B24" s="4" t="n">
        <v>2028</v>
      </c>
      <c r="C24" s="4" t="s">
        <v>95</v>
      </c>
      <c r="D24" s="4" t="s">
        <v>96</v>
      </c>
      <c r="E24" s="5" t="n">
        <v>1935</v>
      </c>
      <c r="F24" s="4" t="s">
        <v>97</v>
      </c>
      <c r="G24" s="4" t="s">
        <v>98</v>
      </c>
      <c r="H24" s="4" t="s">
        <v>13</v>
      </c>
    </row>
    <row r="25" customFormat="false" ht="15" hidden="false" customHeight="false" outlineLevel="0" collapsed="false">
      <c r="A25" s="4" t="s">
        <v>91</v>
      </c>
      <c r="B25" s="4" t="n">
        <v>2028</v>
      </c>
      <c r="C25" s="4" t="s">
        <v>99</v>
      </c>
      <c r="D25" s="4" t="s">
        <v>100</v>
      </c>
      <c r="E25" s="5" t="n">
        <v>300</v>
      </c>
      <c r="F25" s="4" t="s">
        <v>97</v>
      </c>
      <c r="G25" s="4" t="s">
        <v>98</v>
      </c>
      <c r="H25" s="4" t="s">
        <v>13</v>
      </c>
    </row>
    <row r="26" customFormat="false" ht="15" hidden="false" customHeight="false" outlineLevel="0" collapsed="false">
      <c r="A26" s="4" t="s">
        <v>91</v>
      </c>
      <c r="B26" s="4" t="n">
        <v>2028</v>
      </c>
      <c r="C26" s="4" t="s">
        <v>58</v>
      </c>
      <c r="D26" s="4" t="s">
        <v>101</v>
      </c>
      <c r="E26" s="5" t="n">
        <v>800</v>
      </c>
      <c r="F26" s="4" t="s">
        <v>102</v>
      </c>
      <c r="G26" s="4"/>
      <c r="H26" s="4" t="s">
        <v>13</v>
      </c>
    </row>
    <row r="27" customFormat="false" ht="15" hidden="false" customHeight="false" outlineLevel="0" collapsed="false">
      <c r="A27" s="4" t="s">
        <v>91</v>
      </c>
      <c r="B27" s="4" t="n">
        <v>2028</v>
      </c>
      <c r="C27" s="4" t="s">
        <v>58</v>
      </c>
      <c r="D27" s="4" t="s">
        <v>103</v>
      </c>
      <c r="E27" s="5" t="n">
        <v>500</v>
      </c>
      <c r="F27" s="4" t="s">
        <v>102</v>
      </c>
      <c r="G27" s="4"/>
      <c r="H27" s="4" t="s">
        <v>13</v>
      </c>
    </row>
    <row r="28" customFormat="false" ht="15" hidden="false" customHeight="false" outlineLevel="0" collapsed="false">
      <c r="A28" s="4" t="s">
        <v>91</v>
      </c>
      <c r="B28" s="4" t="n">
        <v>2028</v>
      </c>
      <c r="C28" s="4" t="s">
        <v>104</v>
      </c>
      <c r="D28" s="4" t="s">
        <v>105</v>
      </c>
      <c r="E28" s="5" t="n">
        <v>240</v>
      </c>
      <c r="F28" s="4" t="s">
        <v>91</v>
      </c>
      <c r="G28" s="4"/>
      <c r="H28" s="4" t="s">
        <v>13</v>
      </c>
    </row>
    <row r="29" customFormat="false" ht="15" hidden="false" customHeight="false" outlineLevel="0" collapsed="false">
      <c r="A29" s="4" t="s">
        <v>106</v>
      </c>
      <c r="B29" s="4" t="n">
        <v>2029</v>
      </c>
      <c r="C29" s="4" t="s">
        <v>107</v>
      </c>
      <c r="D29" s="4" t="s">
        <v>108</v>
      </c>
      <c r="E29" s="5" t="n">
        <v>5500</v>
      </c>
      <c r="F29" s="4" t="s">
        <v>109</v>
      </c>
      <c r="G29" s="4"/>
      <c r="H29" s="4" t="s">
        <v>35</v>
      </c>
    </row>
    <row r="30" customFormat="false" ht="15" hidden="false" customHeight="false" outlineLevel="0" collapsed="false">
      <c r="A30" s="4" t="s">
        <v>106</v>
      </c>
      <c r="B30" s="4" t="n">
        <v>2029</v>
      </c>
      <c r="C30" s="4" t="s">
        <v>110</v>
      </c>
      <c r="D30" s="4" t="s">
        <v>111</v>
      </c>
      <c r="E30" s="5" t="n">
        <v>900</v>
      </c>
      <c r="F30" s="4" t="s">
        <v>112</v>
      </c>
      <c r="G30" s="4"/>
      <c r="H30" s="4" t="s">
        <v>35</v>
      </c>
    </row>
    <row r="31" customFormat="false" ht="15" hidden="false" customHeight="false" outlineLevel="0" collapsed="false">
      <c r="A31" s="4" t="s">
        <v>106</v>
      </c>
      <c r="B31" s="4" t="n">
        <v>2029</v>
      </c>
      <c r="C31" s="4" t="s">
        <v>113</v>
      </c>
      <c r="D31" s="4" t="s">
        <v>114</v>
      </c>
      <c r="E31" s="5" t="n">
        <v>300</v>
      </c>
      <c r="F31" s="4" t="s">
        <v>97</v>
      </c>
      <c r="G31" s="4"/>
      <c r="H31" s="4" t="s">
        <v>13</v>
      </c>
    </row>
    <row r="32" customFormat="false" ht="15" hidden="false" customHeight="false" outlineLevel="0" collapsed="false">
      <c r="A32" s="4" t="s">
        <v>106</v>
      </c>
      <c r="B32" s="4" t="n">
        <v>2029</v>
      </c>
      <c r="C32" s="4" t="s">
        <v>115</v>
      </c>
      <c r="D32" s="4" t="s">
        <v>116</v>
      </c>
      <c r="E32" s="5" t="n">
        <v>200</v>
      </c>
      <c r="F32" s="4" t="s">
        <v>97</v>
      </c>
      <c r="G32" s="4"/>
      <c r="H32" s="4" t="s">
        <v>13</v>
      </c>
    </row>
    <row r="33" customFormat="false" ht="15" hidden="false" customHeight="false" outlineLevel="0" collapsed="false">
      <c r="A33" s="4" t="s">
        <v>106</v>
      </c>
      <c r="B33" s="4" t="n">
        <v>2029</v>
      </c>
      <c r="C33" s="4" t="s">
        <v>117</v>
      </c>
      <c r="D33" s="4" t="s">
        <v>118</v>
      </c>
      <c r="E33" s="5" t="n">
        <v>300</v>
      </c>
      <c r="F33" s="4" t="s">
        <v>97</v>
      </c>
      <c r="G33" s="4"/>
      <c r="H33" s="4" t="s">
        <v>13</v>
      </c>
    </row>
    <row r="34" customFormat="false" ht="15" hidden="false" customHeight="false" outlineLevel="0" collapsed="false">
      <c r="A34" s="4" t="s">
        <v>106</v>
      </c>
      <c r="B34" s="4" t="n">
        <v>2029</v>
      </c>
      <c r="C34" s="4" t="s">
        <v>39</v>
      </c>
      <c r="D34" s="4" t="s">
        <v>119</v>
      </c>
      <c r="E34" s="5" t="n">
        <v>220</v>
      </c>
      <c r="F34" s="4" t="s">
        <v>97</v>
      </c>
      <c r="G34" s="4"/>
      <c r="H34" s="4" t="s">
        <v>13</v>
      </c>
    </row>
    <row r="35" customFormat="false" ht="15" hidden="false" customHeight="false" outlineLevel="0" collapsed="false">
      <c r="A35" s="4" t="s">
        <v>120</v>
      </c>
      <c r="B35" s="4" t="n">
        <v>2030</v>
      </c>
      <c r="C35" s="4" t="s">
        <v>117</v>
      </c>
      <c r="D35" s="4" t="s">
        <v>121</v>
      </c>
      <c r="E35" s="5" t="n">
        <v>800</v>
      </c>
      <c r="F35" s="4" t="s">
        <v>122</v>
      </c>
      <c r="G35" s="4" t="s">
        <v>123</v>
      </c>
      <c r="H35" s="4" t="s">
        <v>13</v>
      </c>
    </row>
    <row r="36" customFormat="false" ht="15" hidden="false" customHeight="false" outlineLevel="0" collapsed="false">
      <c r="A36" s="4" t="s">
        <v>122</v>
      </c>
      <c r="B36" s="4" t="n">
        <v>2030</v>
      </c>
      <c r="C36" s="4" t="s">
        <v>92</v>
      </c>
      <c r="D36" s="4" t="s">
        <v>124</v>
      </c>
      <c r="E36" s="5" t="n">
        <v>900</v>
      </c>
      <c r="F36" s="4" t="s">
        <v>125</v>
      </c>
      <c r="G36" s="4" t="s">
        <v>126</v>
      </c>
      <c r="H36" s="4" t="s">
        <v>18</v>
      </c>
    </row>
    <row r="37" customFormat="false" ht="15" hidden="false" customHeight="false" outlineLevel="0" collapsed="false">
      <c r="A37" s="4" t="s">
        <v>127</v>
      </c>
      <c r="B37" s="4" t="n">
        <v>2033</v>
      </c>
      <c r="C37" s="4" t="s">
        <v>128</v>
      </c>
      <c r="D37" s="4" t="s">
        <v>129</v>
      </c>
      <c r="E37" s="5" t="n">
        <v>9000</v>
      </c>
      <c r="F37" s="4" t="s">
        <v>130</v>
      </c>
      <c r="G37" s="4" t="s">
        <v>131</v>
      </c>
      <c r="H37" s="4" t="s">
        <v>18</v>
      </c>
    </row>
    <row r="38" customFormat="false" ht="15" hidden="false" customHeight="false" outlineLevel="0" collapsed="false">
      <c r="A38" s="4" t="s">
        <v>127</v>
      </c>
      <c r="B38" s="4" t="n">
        <v>2033</v>
      </c>
      <c r="C38" s="4" t="s">
        <v>132</v>
      </c>
      <c r="D38" s="4" t="s">
        <v>133</v>
      </c>
      <c r="E38" s="5" t="n">
        <v>600</v>
      </c>
      <c r="F38" s="4" t="s">
        <v>134</v>
      </c>
      <c r="G38" s="4" t="s">
        <v>135</v>
      </c>
      <c r="H38" s="4" t="s">
        <v>35</v>
      </c>
    </row>
    <row r="39" customFormat="false" ht="15" hidden="false" customHeight="false" outlineLevel="0" collapsed="false">
      <c r="A39" s="4" t="s">
        <v>136</v>
      </c>
      <c r="B39" s="4"/>
      <c r="C39" s="4" t="s">
        <v>107</v>
      </c>
      <c r="D39" s="4" t="s">
        <v>137</v>
      </c>
      <c r="E39" s="5" t="n">
        <v>1200</v>
      </c>
      <c r="F39" s="4" t="s">
        <v>138</v>
      </c>
      <c r="G39" s="4"/>
      <c r="H39" s="4" t="s">
        <v>35</v>
      </c>
    </row>
    <row r="40" customFormat="false" ht="15" hidden="false" customHeight="false" outlineLevel="0" collapsed="false">
      <c r="A40" s="4" t="s">
        <v>136</v>
      </c>
      <c r="B40" s="4"/>
      <c r="C40" s="4" t="s">
        <v>14</v>
      </c>
      <c r="D40" s="4" t="s">
        <v>139</v>
      </c>
      <c r="E40" s="5" t="n">
        <v>540</v>
      </c>
      <c r="F40" s="4" t="s">
        <v>138</v>
      </c>
      <c r="G40" s="4" t="s">
        <v>140</v>
      </c>
      <c r="H40" s="4" t="s">
        <v>18</v>
      </c>
    </row>
    <row r="41" customFormat="false" ht="15" hidden="false" customHeight="false" outlineLevel="0" collapsed="false">
      <c r="A41" s="4" t="s">
        <v>136</v>
      </c>
      <c r="B41" s="4"/>
      <c r="C41" s="4" t="s">
        <v>39</v>
      </c>
      <c r="D41" s="4" t="s">
        <v>141</v>
      </c>
      <c r="E41" s="5" t="n">
        <v>300</v>
      </c>
      <c r="F41" s="4" t="s">
        <v>138</v>
      </c>
      <c r="G41" s="4" t="s">
        <v>142</v>
      </c>
      <c r="H41" s="4" t="s">
        <v>35</v>
      </c>
    </row>
    <row r="42" customFormat="false" ht="15" hidden="false" customHeight="false" outlineLevel="0" collapsed="false">
      <c r="A42" s="4" t="s">
        <v>136</v>
      </c>
      <c r="B42" s="4"/>
      <c r="C42" s="4" t="s">
        <v>51</v>
      </c>
      <c r="D42" s="4" t="s">
        <v>143</v>
      </c>
      <c r="E42" s="5" t="n">
        <v>320</v>
      </c>
      <c r="F42" s="4" t="s">
        <v>144</v>
      </c>
      <c r="G42" s="4" t="s">
        <v>145</v>
      </c>
      <c r="H42" s="4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6" t="s">
        <v>1</v>
      </c>
      <c r="B1" s="6" t="s">
        <v>147</v>
      </c>
      <c r="C1" s="6" t="s">
        <v>148</v>
      </c>
    </row>
    <row r="2" customFormat="false" ht="15" hidden="false" customHeight="false" outlineLevel="0" collapsed="false">
      <c r="A2" s="7" t="n">
        <v>2026</v>
      </c>
      <c r="B2" s="7" t="n">
        <f aca="false">COUNTIF('Renewal timeline'!$B$2:$B$42,A2)</f>
        <v>8</v>
      </c>
      <c r="C2" s="8" t="n">
        <f aca="false">SUMIF('Renewal timeline'!$B$2:$B$42,A2,'Renewal timeline'!$E$2:$E$42)</f>
        <v>9343</v>
      </c>
    </row>
    <row r="3" customFormat="false" ht="15" hidden="false" customHeight="false" outlineLevel="0" collapsed="false">
      <c r="A3" s="7" t="n">
        <v>2027</v>
      </c>
      <c r="B3" s="7" t="n">
        <f aca="false">COUNTIF('Renewal timeline'!$B$2:$B$42,A3)</f>
        <v>11</v>
      </c>
      <c r="C3" s="8" t="n">
        <f aca="false">SUMIF('Renewal timeline'!$B$2:$B$42,A3,'Renewal timeline'!$E$2:$E$42)</f>
        <v>11118</v>
      </c>
    </row>
    <row r="4" customFormat="false" ht="15" hidden="false" customHeight="false" outlineLevel="0" collapsed="false">
      <c r="A4" s="7" t="n">
        <v>2028</v>
      </c>
      <c r="B4" s="7" t="n">
        <f aca="false">COUNTIF('Renewal timeline'!$B$2:$B$42,A4)</f>
        <v>8</v>
      </c>
      <c r="C4" s="8" t="n">
        <f aca="false">SUMIF('Renewal timeline'!$B$2:$B$42,A4,'Renewal timeline'!$E$2:$E$42)</f>
        <v>19575</v>
      </c>
    </row>
    <row r="5" customFormat="false" ht="15" hidden="false" customHeight="false" outlineLevel="0" collapsed="false">
      <c r="A5" s="7" t="n">
        <v>2029</v>
      </c>
      <c r="B5" s="7" t="n">
        <f aca="false">COUNTIF('Renewal timeline'!$B$2:$B$42,A5)</f>
        <v>6</v>
      </c>
      <c r="C5" s="8" t="n">
        <f aca="false">SUMIF('Renewal timeline'!$B$2:$B$42,A5,'Renewal timeline'!$E$2:$E$42)</f>
        <v>7420</v>
      </c>
    </row>
    <row r="6" customFormat="false" ht="15" hidden="false" customHeight="false" outlineLevel="0" collapsed="false">
      <c r="A6" s="7" t="n">
        <v>2030</v>
      </c>
      <c r="B6" s="7" t="n">
        <f aca="false">COUNTIF('Renewal timeline'!$B$2:$B$42,A6)</f>
        <v>2</v>
      </c>
      <c r="C6" s="8" t="n">
        <f aca="false">SUMIF('Renewal timeline'!$B$2:$B$42,A6,'Renewal timeline'!$E$2:$E$42)</f>
        <v>1700</v>
      </c>
    </row>
    <row r="7" customFormat="false" ht="15" hidden="false" customHeight="false" outlineLevel="0" collapsed="false">
      <c r="A7" s="7" t="n">
        <v>2033</v>
      </c>
      <c r="B7" s="7" t="n">
        <f aca="false">COUNTIF('Renewal timeline'!$B$2:$B$42,A7)</f>
        <v>2</v>
      </c>
      <c r="C7" s="8" t="n">
        <f aca="false">SUMIF('Renewal timeline'!$B$2:$B$42,A7,'Renewal timeline'!$E$2:$E$42)</f>
        <v>9600</v>
      </c>
    </row>
    <row r="8" customFormat="false" ht="15" hidden="false" customHeight="false" outlineLevel="0" collapsed="false">
      <c r="A8" s="7" t="s">
        <v>136</v>
      </c>
      <c r="B8" s="7" t="n">
        <f aca="false">COUNTBLANK('Renewal timeline'!$B$2:$B$42)</f>
        <v>4</v>
      </c>
      <c r="C8" s="8"/>
    </row>
    <row r="9" customFormat="false" ht="15" hidden="false" customHeight="false" outlineLevel="0" collapsed="false">
      <c r="A9" s="9" t="s">
        <v>149</v>
      </c>
      <c r="B9" s="9" t="n">
        <f aca="false">SUM(B2:B8)</f>
        <v>41</v>
      </c>
      <c r="C9" s="10" t="n">
        <f aca="false">SUM(C2:C7)</f>
        <v>58756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1" t="s">
        <v>150</v>
      </c>
    </row>
    <row r="2" customFormat="false" ht="23.85" hidden="false" customHeight="false" outlineLevel="0" collapsed="false">
      <c r="A2" s="12" t="s">
        <v>151</v>
      </c>
    </row>
    <row r="3" customFormat="false" ht="15" hidden="false" customHeight="false" outlineLevel="0" collapsed="false">
      <c r="A3" s="12" t="s">
        <v>152</v>
      </c>
    </row>
    <row r="4" customFormat="false" ht="15" hidden="false" customHeight="false" outlineLevel="0" collapsed="false">
      <c r="A4" s="12" t="s">
        <v>153</v>
      </c>
    </row>
    <row r="5" customFormat="false" ht="15" hidden="false" customHeight="false" outlineLevel="0" collapsed="false">
      <c r="A5" s="12" t="s">
        <v>154</v>
      </c>
    </row>
    <row r="6" customFormat="false" ht="15" hidden="false" customHeight="false" outlineLevel="0" collapsed="false">
      <c r="A6" s="12" t="s">
        <v>155</v>
      </c>
    </row>
    <row r="7" customFormat="false" ht="15" hidden="false" customHeight="false" outlineLevel="0" collapsed="false">
      <c r="A7" s="12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2026-10-20T17:37:05Z</dcterms:created>
  <dc:creator>openpyxl</dc:creator>
  <dc:description/>
  <dc:language>en-US</dc:language>
  <cp:lastModifiedBy/>
  <dcterms:modified xsi:type="dcterms:W3CDTF">2026-10-20T17:37:05Z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